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one\lernjournalm145\"/>
    </mc:Choice>
  </mc:AlternateContent>
  <xr:revisionPtr revIDLastSave="0" documentId="8_{D563FD78-A25A-4BEB-A003-3DF5D1FBFE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wertung nach Kompetenzmatrix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K16" i="1"/>
  <c r="J14" i="1"/>
  <c r="H14" i="1"/>
  <c r="K13" i="1"/>
  <c r="J13" i="1"/>
  <c r="E13" i="1"/>
  <c r="K12" i="1"/>
  <c r="J12" i="1"/>
  <c r="E12" i="1"/>
  <c r="K11" i="1"/>
  <c r="J11" i="1"/>
  <c r="E11" i="1"/>
  <c r="K10" i="1"/>
  <c r="J10" i="1"/>
  <c r="E10" i="1"/>
  <c r="K9" i="1"/>
  <c r="J9" i="1"/>
  <c r="E9" i="1"/>
  <c r="K8" i="1"/>
  <c r="J8" i="1"/>
  <c r="E8" i="1"/>
  <c r="K7" i="1"/>
  <c r="J7" i="1"/>
  <c r="E7" i="1"/>
  <c r="K6" i="1"/>
  <c r="K14" i="1" s="1"/>
  <c r="J6" i="1"/>
  <c r="E6" i="1"/>
  <c r="J5" i="1"/>
  <c r="B2" i="1" a="1"/>
  <c r="B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tc={FFABAE7A-E58C-4405-A877-A44658A6DD81}</author>
  </authors>
  <commentList>
    <comment ref="C4" authorId="0" shapeId="0" xr:uid="{00000000-0006-0000-0000-00000100000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3 P. = Die Anforderung ist vollständig erfüllt.
2 P. = Die Anforderung ist teilweise erfüllt.
1 P. = Die Anforderung ist ansatzweise erfüllt.
0 P. = Das Thema ist nicht vorhanden oder nicht bewertbar (z.B. weil Eigenständigkeit fehlt)</t>
      </text>
    </comment>
  </commentList>
</comments>
</file>

<file path=xl/sharedStrings.xml><?xml version="1.0" encoding="utf-8"?>
<sst xmlns="http://schemas.openxmlformats.org/spreadsheetml/2006/main" count="37" uniqueCount="36">
  <si>
    <t>M145 - Selbsteinschätzung und Bewertung nach Kompetenzmatrix</t>
  </si>
  <si>
    <t>Anleitung für das Ausfüllen des Bewertungsrasters: Bitte tragen Sie die Selbsteinschätzung (Punkte) direkt in dieses Excel von der Teams-Aufgabe ein. Danke.</t>
  </si>
  <si>
    <t>Punktevergabe</t>
  </si>
  <si>
    <r>
      <rPr>
        <b/>
        <sz val="11"/>
        <color rgb="FFFFFFFF"/>
        <rFont val="Calibri"/>
        <scheme val="minor"/>
      </rPr>
      <t xml:space="preserve">Kompetenzband
</t>
    </r>
    <r>
      <rPr>
        <i/>
        <sz val="11"/>
        <color rgb="FFFFFFFF"/>
        <rFont val="Calibri"/>
        <scheme val="minor"/>
      </rPr>
      <t>Anforderungsbeschreibung für 3 P.</t>
    </r>
  </si>
  <si>
    <t>Punkte
Selbsteinschätzung
P: 0-3</t>
  </si>
  <si>
    <t>Bemerkungen / Begründung Lernender</t>
  </si>
  <si>
    <t>Vergleich Selbsteinschätzung / Bewertung Lehrperson</t>
  </si>
  <si>
    <t>Punkte 
Bewertung Lehrperson
P.: 0-3</t>
  </si>
  <si>
    <t>Bemerkungen / Begründung Lehrperson</t>
  </si>
  <si>
    <t>Note</t>
  </si>
  <si>
    <t>A1</t>
  </si>
  <si>
    <r>
      <rPr>
        <b/>
        <sz val="11"/>
        <color rgb="FF000000"/>
        <rFont val="Calibri"/>
        <scheme val="minor"/>
      </rPr>
      <t xml:space="preserve">Netzerkdokumentation
</t>
    </r>
    <r>
      <rPr>
        <sz val="10"/>
        <color rgb="FF000000"/>
        <rFont val="Calibri"/>
        <scheme val="minor"/>
      </rPr>
      <t>Ich kann anhand von Vorgaben selbständig eine Netzwerkdokumentation erstellen. Aufbau und Inhalt entsprechen gängigen Standards.</t>
    </r>
  </si>
  <si>
    <t>B1</t>
  </si>
  <si>
    <r>
      <rPr>
        <b/>
        <sz val="11"/>
        <color rgb="FF000000"/>
        <rFont val="Calibri"/>
        <scheme val="minor"/>
      </rPr>
      <t xml:space="preserve">Überwachung und Auswertung
</t>
    </r>
    <r>
      <rPr>
        <sz val="10"/>
        <color rgb="FF000000"/>
        <rFont val="Calibri"/>
        <scheme val="minor"/>
      </rPr>
      <t>Ich kann ein Überwachungstool aufsetzen, sowie selbständig Datenquellen ermitteln und einbinden. Ich kann sinnvolle Grenzwerte von relevanten Parameter festlegen und diese gemäss Anforderungskriterien korrekt konfigurieren oder anpassen.</t>
    </r>
  </si>
  <si>
    <t>C1</t>
  </si>
  <si>
    <r>
      <rPr>
        <b/>
        <sz val="11"/>
        <color rgb="FF000000"/>
        <rFont val="Calibri"/>
        <scheme val="minor"/>
      </rPr>
      <t xml:space="preserve">Behandlung von Fehlersymptomen
</t>
    </r>
    <r>
      <rPr>
        <sz val="10"/>
        <color rgb="FF000000"/>
        <rFont val="Calibri"/>
        <scheme val="minor"/>
      </rPr>
      <t>Ich kann Fehlersymptome und Systemmeldungen systematisch erfassen, analysieren und angemessene Massnahmen einleiten.</t>
    </r>
  </si>
  <si>
    <t>D1</t>
  </si>
  <si>
    <r>
      <rPr>
        <b/>
        <sz val="11"/>
        <color rgb="FF000000"/>
        <rFont val="Calibri"/>
        <scheme val="minor"/>
      </rPr>
      <t xml:space="preserve">VLAN
</t>
    </r>
    <r>
      <rPr>
        <sz val="10"/>
        <color rgb="FF000000"/>
        <rFont val="Calibri"/>
        <scheme val="minor"/>
      </rPr>
      <t>Ich kann die Vor- und Nachteile eines virtuellen LANs erklären sowie  logische Netzwerkkonzepte fachgerecht entwickeln und umsetzen.</t>
    </r>
  </si>
  <si>
    <t>E1</t>
  </si>
  <si>
    <r>
      <rPr>
        <b/>
        <sz val="11"/>
        <color rgb="FF000000"/>
        <rFont val="Calibri"/>
        <scheme val="minor"/>
      </rPr>
      <t xml:space="preserve">WLAN
</t>
    </r>
    <r>
      <rPr>
        <sz val="10"/>
        <color rgb="FF000000"/>
        <rFont val="Calibri"/>
        <scheme val="minor"/>
      </rPr>
      <t>Ich kann je nach Einsatzgebiet die optimale WLAN-Infrastruktur evaluieren, fachgerecht konfigurieren und in Betrieb nehmen. Zudem kann ich die aktuellen WLAN-Sicherheitsstandards bei der Planung und Umsetzung einsetzen</t>
    </r>
    <r>
      <rPr>
        <sz val="11"/>
        <color rgb="FF000000"/>
        <rFont val="Calibri"/>
        <scheme val="minor"/>
      </rPr>
      <t>.</t>
    </r>
  </si>
  <si>
    <t>F1</t>
  </si>
  <si>
    <r>
      <t xml:space="preserve">VPN
</t>
    </r>
    <r>
      <rPr>
        <sz val="11"/>
        <color rgb="FF000000"/>
        <rFont val="Calibri"/>
        <family val="2"/>
        <scheme val="minor"/>
      </rPr>
      <t>Ich kann die Vor- und Nachteile unterschiedlicher VPN-Lösungen aufzeigen. Ich kann Unterschiede zwischen WAN-Access, WAN-Core-Netzwerk und VPN Verbindungen differenziert begründen und eine individualisierte VPN-Lösung fachgerecht in Betrieb nehmen.</t>
    </r>
  </si>
  <si>
    <t>Z1</t>
  </si>
  <si>
    <r>
      <t xml:space="preserve">Dokumentation
</t>
    </r>
    <r>
      <rPr>
        <sz val="10"/>
        <color rgb="FF000000"/>
        <rFont val="Calibri"/>
        <family val="2"/>
        <scheme val="minor"/>
      </rPr>
      <t>Die Themen sind im Lernportfolio strukturiert
Beispiel:
- Theorie (Zusammenfassung)
- Realisierung (Handlungsorientiert mit Praxisaufgabe)
- Dokumentation der Resultate (Beweis der Funktionalität)
- Reflexion / Auswertung
- Umfang und Qualität der Dokumentation</t>
    </r>
    <r>
      <rPr>
        <b/>
        <sz val="11"/>
        <color rgb="FF000000"/>
        <rFont val="Calibri"/>
        <family val="2"/>
        <scheme val="minor"/>
      </rPr>
      <t xml:space="preserve">
</t>
    </r>
    <r>
      <rPr>
        <sz val="10"/>
        <color rgb="FF000000"/>
        <rFont val="Calibri"/>
        <family val="2"/>
        <scheme val="minor"/>
      </rPr>
      <t>- Kontinuierlicher Fortschritt erkennbar</t>
    </r>
  </si>
  <si>
    <t>Z2</t>
  </si>
  <si>
    <r>
      <rPr>
        <b/>
        <sz val="11"/>
        <color rgb="FF000000"/>
        <rFont val="Calibri"/>
        <scheme val="minor"/>
      </rPr>
      <t xml:space="preserve">Zusätzliche Themen (wahlweise, wenn ein Thema vollständig erfüllt ist +3P.)
</t>
    </r>
    <r>
      <rPr>
        <b/>
        <sz val="10"/>
        <color rgb="FF000000"/>
        <rFont val="Calibri"/>
        <scheme val="minor"/>
      </rPr>
      <t xml:space="preserve">- </t>
    </r>
    <r>
      <rPr>
        <sz val="10"/>
        <color rgb="FF000000"/>
        <rFont val="Calibri"/>
        <scheme val="minor"/>
      </rPr>
      <t xml:space="preserve">Link-Aggregation (LACP)
- Access Control Lists (ACLs)
- Network Access Control (NAC)
- Virt. Router Redundanz (HSRP/VRRP)
- Software Defined Networking (SDN)
- WAN-Technologie (hybride Cloud, Ausfallsicherheit, Vergleich WAN-Technologie an einem Standort nach Leistung, Kosten, Verfügbarkeit)
- IPv6
</t>
    </r>
  </si>
  <si>
    <t>Max.-Punkte</t>
  </si>
  <si>
    <t>Max.-Punkte für Note 6.0</t>
  </si>
  <si>
    <t>Netzwerkdokumentation ist im Projekt-README strukturiert vorhanden (Ausgangslage, Ziele, Architektur, VLAN-/IP-Konzept, Portstruktur, WLAN, Standortverbindung und Testplan). Noch fehlen fertige Testergebnisse/Screenshots und die Umsetzung ist laut Status noch in Bearbeitung.</t>
  </si>
  <si>
    <t>Zu Ueberwachung/Auswertung ist im Repository aktuell noch kein eigener Nachweis mit Tool, Datenquellen, Grenzwerten oder Auswertung vorhanden.</t>
  </si>
  <si>
    <t>Fehlersymptome/Systemmeldungen und Massnahmen sind noch nicht dokumentiert; leere Lernjournal-Wochen enthalten dazu keinen bewertbaren Nachweis.</t>
  </si>
  <si>
    <t>VLANs sind fachlich geplant und dokumentiert: VLAN-IDs, Subnetze, Gateways, Portzuordnung, Trunks und Inter-VLAN-Routing sind beschrieben. Die Packet-Tracer-Umsetzung ist vorhanden/begonnen, aber noch nicht mit abschliessenden Tests belegt.</t>
  </si>
  <si>
    <t>WLAN ist als Konzept mit internem WLAN und Gaeste-WLAN dokumentiert. Die konkrete Konfiguration und Inbetriebnahme sind im Projektstatus noch offen.</t>
  </si>
  <si>
    <t>Standortverbindung/VPN ist fachlich beschrieben (WAN-/Site-to-Site-VPN-Idee, Netze und Router-Adressen). Eine individualisierte VPN-Loesung ist noch nicht fertig umgesetzt oder getestet.</t>
  </si>
  <si>
    <t>Repository-Struktur, README, Projektdokumentation und KW20-Lernjournal sind vorhanden. Mehrere Lernjournal-Dateien sind aber noch leer und Resultate/Reflexionen fehlen teilweise.</t>
  </si>
  <si>
    <t>Zusatzthemen sind hoechstens geplant/erwaehnt (z. B. ACLs im Zugriffskonzept), aber noch nicht vollstaendig umgesetzt und nachgewiesen.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</si>
</sst>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</font>
    <font>
      <sz val="11"/>
      <color theme="1"/>
      <name val="Calibri"/>
    </font>
    <font>
      <sz val="18"/>
      <color theme="3"/>
      <name val="Calibri Light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5700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sz val="11"/>
      <color rgb="FFFA7D00"/>
      <name val="Calibri"/>
    </font>
    <font>
      <b/>
      <sz val="11"/>
      <color theme="0"/>
      <name val="Calibri"/>
    </font>
    <font>
      <sz val="11"/>
      <color rgb="FFFF0000"/>
      <name val="Calibri"/>
    </font>
    <font>
      <i/>
      <sz val="11"/>
      <color rgb="FF7F7F7F"/>
      <name val="Calibri"/>
    </font>
    <font>
      <b/>
      <sz val="11"/>
      <color theme="1"/>
      <name val="Calibri"/>
    </font>
    <font>
      <sz val="11"/>
      <color theme="0"/>
      <name val="Calibri"/>
    </font>
    <font>
      <b/>
      <sz val="12"/>
      <color theme="1"/>
      <name val="Calibri"/>
    </font>
    <font>
      <sz val="8"/>
      <color theme="1"/>
      <name val="Calibri"/>
    </font>
    <font>
      <b/>
      <sz val="8"/>
      <color theme="0"/>
      <name val="Calibri"/>
    </font>
    <font>
      <b/>
      <sz val="14"/>
      <color theme="1"/>
      <name val="Comic Sans MS"/>
    </font>
    <font>
      <sz val="9"/>
      <name val="Helvetica Neue"/>
    </font>
    <font>
      <sz val="9"/>
      <color theme="1"/>
      <name val="Comic Sans MS"/>
    </font>
    <font>
      <b/>
      <sz val="14"/>
      <name val="Helvetica Neue"/>
    </font>
    <font>
      <b/>
      <sz val="11"/>
      <color rgb="FFFF0000"/>
      <name val="Calibri"/>
    </font>
    <font>
      <b/>
      <sz val="16"/>
      <color theme="1"/>
      <name val="Calibri"/>
    </font>
    <font>
      <sz val="10"/>
      <color theme="1"/>
      <name val="Calibri"/>
    </font>
    <font>
      <b/>
      <sz val="11"/>
      <color rgb="FF000000"/>
      <name val="Calibri"/>
    </font>
    <font>
      <sz val="11"/>
      <color rgb="FFFFFFFF"/>
      <name val="Calibri"/>
    </font>
    <font>
      <b/>
      <sz val="11"/>
      <color rgb="FF000000"/>
      <name val="Calibri"/>
    </font>
    <font>
      <b/>
      <sz val="14"/>
      <color theme="1"/>
      <name val="Calibri"/>
    </font>
    <font>
      <sz val="14"/>
      <name val="Helvetica Neue"/>
    </font>
    <font>
      <b/>
      <sz val="11"/>
      <color rgb="FFFFFFFF"/>
      <name val="Calibri"/>
      <scheme val="minor"/>
    </font>
    <font>
      <i/>
      <sz val="11"/>
      <color rgb="FFFFFFFF"/>
      <name val="Calibri"/>
      <scheme val="minor"/>
    </font>
    <font>
      <b/>
      <sz val="11"/>
      <color rgb="FF000000"/>
      <name val="Calibri"/>
      <scheme val="minor"/>
    </font>
    <font>
      <sz val="10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8" tint="-0.24997711111789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rgb="FFFFFF00"/>
      </patternFill>
    </fill>
    <fill>
      <patternFill patternType="solid">
        <fgColor theme="2" tint="-9.9978637043366805E-2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42">
    <xf numFmtId="0" fontId="0" fillId="0" borderId="0" xfId="0"/>
    <xf numFmtId="49" fontId="0" fillId="0" borderId="0" xfId="42" applyNumberFormat="1" applyFont="1" applyAlignment="1">
      <alignment wrapText="1"/>
    </xf>
    <xf numFmtId="49" fontId="0" fillId="0" borderId="0" xfId="42" applyNumberFormat="1" applyFont="1" applyAlignment="1">
      <alignment horizontal="left" vertical="center"/>
    </xf>
    <xf numFmtId="0" fontId="19" fillId="0" borderId="0" xfId="42" applyFont="1" applyAlignment="1">
      <alignment wrapText="1"/>
    </xf>
    <xf numFmtId="0" fontId="19" fillId="0" borderId="11" xfId="42" applyFont="1" applyBorder="1" applyAlignment="1">
      <alignment horizontal="left" vertical="center" wrapText="1"/>
    </xf>
    <xf numFmtId="0" fontId="18" fillId="37" borderId="11" xfId="42" applyFont="1" applyFill="1" applyBorder="1" applyAlignment="1">
      <alignment horizontal="center" vertical="center"/>
    </xf>
    <xf numFmtId="0" fontId="19" fillId="0" borderId="11" xfId="42" applyFont="1" applyBorder="1" applyAlignment="1">
      <alignment wrapText="1"/>
    </xf>
    <xf numFmtId="49" fontId="19" fillId="0" borderId="0" xfId="42" applyNumberFormat="1" applyFont="1" applyAlignment="1">
      <alignment horizontal="left" vertical="center" wrapText="1"/>
    </xf>
    <xf numFmtId="49" fontId="20" fillId="36" borderId="0" xfId="42" applyNumberFormat="1" applyFont="1" applyFill="1" applyAlignment="1">
      <alignment horizontal="center" vertical="center" wrapText="1"/>
    </xf>
    <xf numFmtId="49" fontId="19" fillId="0" borderId="11" xfId="42" applyNumberFormat="1" applyFont="1" applyBorder="1" applyAlignment="1">
      <alignment horizontal="left" vertical="center" wrapText="1"/>
    </xf>
    <xf numFmtId="0" fontId="0" fillId="35" borderId="14" xfId="42" applyFont="1" applyFill="1" applyBorder="1"/>
    <xf numFmtId="0" fontId="0" fillId="35" borderId="15" xfId="42" applyFont="1" applyFill="1" applyBorder="1"/>
    <xf numFmtId="49" fontId="0" fillId="0" borderId="0" xfId="42" applyNumberFormat="1" applyFont="1" applyAlignment="1">
      <alignment horizontal="right" wrapText="1"/>
    </xf>
    <xf numFmtId="0" fontId="16" fillId="0" borderId="0" xfId="42" applyFont="1" applyAlignment="1">
      <alignment horizontal="center"/>
    </xf>
    <xf numFmtId="0" fontId="21" fillId="33" borderId="11" xfId="42" applyFont="1" applyFill="1" applyBorder="1" applyAlignment="1">
      <alignment horizontal="center" vertical="center"/>
    </xf>
    <xf numFmtId="49" fontId="22" fillId="34" borderId="11" xfId="42" applyNumberFormat="1" applyFont="1" applyFill="1" applyBorder="1" applyAlignment="1">
      <alignment horizontal="left" vertical="center" wrapText="1"/>
    </xf>
    <xf numFmtId="0" fontId="24" fillId="34" borderId="0" xfId="42" applyFont="1" applyFill="1" applyAlignment="1">
      <alignment horizontal="center" vertical="center"/>
    </xf>
    <xf numFmtId="0" fontId="0" fillId="0" borderId="0" xfId="42" applyFont="1" applyAlignment="1">
      <alignment horizontal="right"/>
    </xf>
    <xf numFmtId="0" fontId="0" fillId="0" borderId="0" xfId="42" applyFont="1" applyAlignment="1">
      <alignment horizontal="left" vertical="center" wrapText="1"/>
    </xf>
    <xf numFmtId="0" fontId="0" fillId="38" borderId="0" xfId="42" applyFont="1" applyFill="1"/>
    <xf numFmtId="0" fontId="26" fillId="0" borderId="0" xfId="42" applyFont="1" applyAlignment="1">
      <alignment wrapText="1"/>
    </xf>
    <xf numFmtId="0" fontId="26" fillId="0" borderId="0" xfId="42" applyFont="1"/>
    <xf numFmtId="0" fontId="27" fillId="0" borderId="0" xfId="42" applyFont="1" applyAlignment="1">
      <alignment horizontal="left" vertical="center"/>
    </xf>
    <xf numFmtId="0" fontId="16" fillId="35" borderId="10" xfId="42" applyFont="1" applyFill="1" applyBorder="1" applyAlignment="1">
      <alignment horizontal="center" vertical="center"/>
    </xf>
    <xf numFmtId="49" fontId="28" fillId="39" borderId="12" xfId="42" applyNumberFormat="1" applyFont="1" applyFill="1" applyBorder="1" applyAlignment="1">
      <alignment horizontal="left" vertical="top" wrapText="1"/>
    </xf>
    <xf numFmtId="49" fontId="28" fillId="39" borderId="12" xfId="42" applyNumberFormat="1" applyFont="1" applyFill="1" applyBorder="1" applyAlignment="1">
      <alignment vertical="top" wrapText="1"/>
    </xf>
    <xf numFmtId="49" fontId="29" fillId="0" borderId="0" xfId="42" applyNumberFormat="1" applyFont="1" applyAlignment="1">
      <alignment horizontal="left" vertical="center" wrapText="1"/>
    </xf>
    <xf numFmtId="49" fontId="30" fillId="39" borderId="12" xfId="42" applyNumberFormat="1" applyFont="1" applyFill="1" applyBorder="1" applyAlignment="1">
      <alignment horizontal="left" vertical="top" wrapText="1"/>
    </xf>
    <xf numFmtId="0" fontId="0" fillId="0" borderId="0" xfId="42" applyFont="1" applyAlignment="1">
      <alignment wrapText="1"/>
    </xf>
    <xf numFmtId="0" fontId="31" fillId="0" borderId="13" xfId="42" applyFont="1" applyBorder="1" applyAlignment="1">
      <alignment horizontal="center" vertical="center"/>
    </xf>
    <xf numFmtId="49" fontId="18" fillId="0" borderId="16" xfId="42" applyNumberFormat="1" applyFont="1" applyBorder="1" applyAlignment="1">
      <alignment wrapText="1"/>
    </xf>
    <xf numFmtId="0" fontId="21" fillId="0" borderId="16" xfId="42" applyFont="1" applyBorder="1" applyAlignment="1">
      <alignment horizontal="center" vertical="center"/>
    </xf>
    <xf numFmtId="49" fontId="23" fillId="0" borderId="16" xfId="42" applyNumberFormat="1" applyFont="1" applyBorder="1" applyAlignment="1">
      <alignment horizontal="left" vertical="center" wrapText="1"/>
    </xf>
    <xf numFmtId="0" fontId="18" fillId="0" borderId="16" xfId="42" applyFont="1" applyBorder="1" applyAlignment="1">
      <alignment horizontal="center" vertical="center"/>
    </xf>
    <xf numFmtId="0" fontId="24" fillId="0" borderId="17" xfId="42" applyFont="1" applyBorder="1" applyAlignment="1">
      <alignment horizontal="center" vertical="center"/>
    </xf>
    <xf numFmtId="49" fontId="32" fillId="34" borderId="13" xfId="42" applyNumberFormat="1" applyFont="1" applyFill="1" applyBorder="1" applyAlignment="1">
      <alignment horizontal="right" vertical="center" wrapText="1"/>
    </xf>
    <xf numFmtId="49" fontId="23" fillId="30" borderId="0" xfId="42" applyNumberFormat="1" applyFont="1" applyFill="1" applyAlignment="1">
      <alignment horizontal="left" vertical="top" wrapText="1"/>
    </xf>
    <xf numFmtId="49" fontId="25" fillId="38" borderId="0" xfId="42" applyNumberFormat="1" applyFont="1" applyFill="1" applyAlignment="1">
      <alignment horizontal="left" vertical="center" wrapText="1"/>
    </xf>
    <xf numFmtId="0" fontId="14" fillId="0" borderId="0" xfId="42" applyFont="1" applyAlignment="1">
      <alignment horizontal="left" vertical="center" wrapText="1"/>
    </xf>
    <xf numFmtId="0" fontId="14" fillId="0" borderId="0" xfId="42" applyFont="1" applyAlignment="1">
      <alignment vertical="center" wrapText="1"/>
    </xf>
    <xf numFmtId="49" fontId="26" fillId="0" borderId="0" xfId="42" applyNumberFormat="1" applyFont="1" applyAlignment="1">
      <alignment horizontal="left" vertical="top" wrapText="1"/>
    </xf>
    <xf numFmtId="0" fontId="26" fillId="0" borderId="0" xfId="42" applyFont="1" applyAlignment="1">
      <alignment wrapText="1"/>
    </xf>
  </cellXfs>
  <cellStyles count="43">
    <cellStyle name="20% - Accent1" xfId="19" xr:uid="{00000000-0005-0000-0000-000000000000}"/>
    <cellStyle name="20% - Accent2" xfId="23" xr:uid="{00000000-0005-0000-0000-000001000000}"/>
    <cellStyle name="20% - Accent3" xfId="27" xr:uid="{00000000-0005-0000-0000-000002000000}"/>
    <cellStyle name="20% - Accent4" xfId="31" xr:uid="{00000000-0005-0000-0000-000003000000}"/>
    <cellStyle name="20% - Accent5" xfId="35" xr:uid="{00000000-0005-0000-0000-000004000000}"/>
    <cellStyle name="20% - Accent6" xfId="39" xr:uid="{00000000-0005-0000-0000-000005000000}"/>
    <cellStyle name="40% - Accent1" xfId="20" xr:uid="{00000000-0005-0000-0000-000006000000}"/>
    <cellStyle name="40% - Accent2" xfId="24" xr:uid="{00000000-0005-0000-0000-000007000000}"/>
    <cellStyle name="40% - Accent3" xfId="28" xr:uid="{00000000-0005-0000-0000-000008000000}"/>
    <cellStyle name="40% - Accent4" xfId="32" xr:uid="{00000000-0005-0000-0000-000009000000}"/>
    <cellStyle name="40% - Accent5" xfId="36" xr:uid="{00000000-0005-0000-0000-00000A000000}"/>
    <cellStyle name="40% - Accent6" xfId="40" xr:uid="{00000000-0005-0000-0000-00000B000000}"/>
    <cellStyle name="60% - Accent1" xfId="21" xr:uid="{00000000-0005-0000-0000-00000C000000}"/>
    <cellStyle name="60% - Accent2" xfId="25" xr:uid="{00000000-0005-0000-0000-00000D000000}"/>
    <cellStyle name="60% - Accent3" xfId="29" xr:uid="{00000000-0005-0000-0000-00000E000000}"/>
    <cellStyle name="60% - Accent4" xfId="33" xr:uid="{00000000-0005-0000-0000-00000F000000}"/>
    <cellStyle name="60% - Accent5" xfId="37" xr:uid="{00000000-0005-0000-0000-000010000000}"/>
    <cellStyle name="60% - Accent6" xfId="41" xr:uid="{00000000-0005-0000-0000-000011000000}"/>
    <cellStyle name="Accent1" xfId="18" xr:uid="{00000000-0005-0000-0000-000012000000}"/>
    <cellStyle name="Accent2" xfId="22" xr:uid="{00000000-0005-0000-0000-000013000000}"/>
    <cellStyle name="Accent3" xfId="26" xr:uid="{00000000-0005-0000-0000-000014000000}"/>
    <cellStyle name="Accent4" xfId="30" xr:uid="{00000000-0005-0000-0000-000015000000}"/>
    <cellStyle name="Accent5" xfId="34" xr:uid="{00000000-0005-0000-0000-000016000000}"/>
    <cellStyle name="Accent6" xfId="38" xr:uid="{00000000-0005-0000-0000-000017000000}"/>
    <cellStyle name="Bad" xfId="7" xr:uid="{00000000-0005-0000-0000-000018000000}"/>
    <cellStyle name="Calculation" xfId="11" xr:uid="{00000000-0005-0000-0000-000019000000}"/>
    <cellStyle name="Check Cell" xfId="13" xr:uid="{00000000-0005-0000-0000-00001A000000}"/>
    <cellStyle name="Explanatory Text" xfId="16" xr:uid="{00000000-0005-0000-0000-00001B000000}"/>
    <cellStyle name="Good" xfId="6" xr:uid="{00000000-0005-0000-0000-00001C000000}"/>
    <cellStyle name="Heading 1" xfId="2" xr:uid="{00000000-0005-0000-0000-00001D000000}"/>
    <cellStyle name="Heading 2" xfId="3" xr:uid="{00000000-0005-0000-0000-00001E000000}"/>
    <cellStyle name="Heading 3" xfId="4" xr:uid="{00000000-0005-0000-0000-00001F000000}"/>
    <cellStyle name="Heading 4" xfId="5" xr:uid="{00000000-0005-0000-0000-000020000000}"/>
    <cellStyle name="Input" xfId="9" xr:uid="{00000000-0005-0000-0000-000021000000}"/>
    <cellStyle name="Linked Cell" xfId="12" xr:uid="{00000000-0005-0000-0000-000022000000}"/>
    <cellStyle name="Neutral" xfId="8" xr:uid="{00000000-0005-0000-0000-000023000000}"/>
    <cellStyle name="Normal" xfId="42" xr:uid="{00000000-0005-0000-0000-000024000000}"/>
    <cellStyle name="Note" xfId="15" xr:uid="{00000000-0005-0000-0000-000025000000}"/>
    <cellStyle name="Output" xfId="10" xr:uid="{00000000-0005-0000-0000-000026000000}"/>
    <cellStyle name="Standard" xfId="0" builtinId="0"/>
    <cellStyle name="Title" xfId="1" xr:uid="{00000000-0005-0000-0000-000027000000}"/>
    <cellStyle name="Total" xfId="17" xr:uid="{00000000-0005-0000-0000-000028000000}"/>
    <cellStyle name="Warning Text" xfId="14" xr:uid="{00000000-0005-0000-0000-000029000000}"/>
  </cellStyles>
  <dxfs count="2">
    <dxf>
      <fill>
        <patternFill>
          <bgColor theme="9" tint="0.79995117038483843"/>
        </patternFill>
      </fill>
    </dxf>
    <dxf>
      <fill>
        <patternFill>
          <bgColor theme="8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426720</xdr:colOff>
      <xdr:row>10</xdr:row>
      <xdr:rowOff>388620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C6A09905-A571-6905-C828-5724E37E4BB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ohr Philipp" id="{71A28FF1-63CD-4F9C-B032-FD333215FCF5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G14" totalsRowCount="1">
  <tableColumns count="6">
    <tableColumn id="1" xr3:uid="{00000000-0010-0000-0000-000001000000}" name="Kompetenzband_x000a__x000a_Anforderungsbeschreibung für 3 P."/>
    <tableColumn id="2" xr3:uid="{00000000-0010-0000-0000-000002000000}" name="Punkte_x000a_Selbsteinschätzung_x000a_P: 0-3"/>
    <tableColumn id="6" xr3:uid="{00000000-0010-0000-0000-000006000000}" name="Bemerkungen / Begründung Lernender"/>
    <tableColumn id="3" xr3:uid="{00000000-0010-0000-0000-000003000000}" name="Vergleich Selbsteinschätzung / Bewertung Lehrperson"/>
    <tableColumn id="4" xr3:uid="{00000000-0010-0000-0000-000004000000}" name="Punkte _x000a_Bewertung Lehrperson_x000a_P.: 0-3"/>
    <tableColumn id="5" xr3:uid="{00000000-0010-0000-0000-000005000000}" name="Bemerkungen / Begründung Lehrperson" totalsRowLabel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3-02-27T13:28:23.08" personId="{71A28FF1-63CD-4F9C-B032-FD333215FCF5}" id="{FFABAE7A-E58C-4405-A877-A44658A6DD81}">
    <text>3 P. = Die Anforderung ist vollständig erfüllt.
2 P. = Die Anforderung ist teilweise erfüllt.
1 P. = Die Anforderung ist ansatzweise erfüllt.
0 P. = Das Thema ist nicht vorhanden oder nicht bewertbar (z.B. weil Eigenständigkeit fehlt)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tabSelected="1" topLeftCell="A12" workbookViewId="0"/>
  </sheetViews>
  <sheetFormatPr baseColWidth="10" defaultColWidth="0" defaultRowHeight="14.4"/>
  <cols>
    <col min="1" max="1" width="5.109375" style="17" customWidth="1"/>
    <col min="2" max="2" width="38.6640625" style="1" customWidth="1"/>
    <col min="3" max="3" width="12.6640625" customWidth="1"/>
    <col min="4" max="4" width="34.109375" style="2" customWidth="1"/>
    <col min="5" max="5" width="14.33203125" customWidth="1"/>
    <col min="6" max="6" width="12" customWidth="1"/>
    <col min="7" max="7" width="27.6640625" customWidth="1"/>
    <col min="8" max="8" width="10.33203125" style="2" customWidth="1"/>
    <col min="9" max="9" width="3.44140625" customWidth="1"/>
    <col min="10" max="12" width="9.109375" hidden="1" customWidth="1"/>
    <col min="13" max="13" width="37.33203125" hidden="1" customWidth="1"/>
    <col min="14" max="16384" width="9.109375" hidden="1"/>
  </cols>
  <sheetData>
    <row r="1" spans="1:13" ht="22.5" customHeight="1">
      <c r="B1" s="40" t="s">
        <v>0</v>
      </c>
      <c r="C1" s="41"/>
      <c r="D1" s="41"/>
      <c r="E1" s="41"/>
      <c r="F1" s="41"/>
      <c r="G1" s="41"/>
      <c r="H1" s="41"/>
    </row>
    <row r="2" spans="1:13" ht="22.5" customHeight="1">
      <c r="B2" s="22" t="str">
        <f t="array" aca="1" ref="B2" ca="1">IFERROR(LEFT(CELL("filename"),FIND("[",CELL("filename"))-1),"")</f>
        <v>C:\Users\lione\lernjournalm145\</v>
      </c>
      <c r="C2" s="21"/>
      <c r="D2" s="21"/>
      <c r="E2" s="21"/>
      <c r="F2" s="21"/>
      <c r="G2" s="21"/>
      <c r="H2" s="20"/>
    </row>
    <row r="3" spans="1:13" ht="21" customHeight="1">
      <c r="B3" s="37" t="s">
        <v>1</v>
      </c>
      <c r="C3" s="38"/>
      <c r="D3" s="38"/>
      <c r="E3" s="39"/>
      <c r="F3" s="39"/>
      <c r="G3" s="39"/>
      <c r="H3" s="39"/>
    </row>
    <row r="4" spans="1:13">
      <c r="C4" s="19" t="s">
        <v>2</v>
      </c>
      <c r="G4" s="2"/>
      <c r="H4"/>
    </row>
    <row r="5" spans="1:13" ht="43.2">
      <c r="B5" s="26" t="s">
        <v>3</v>
      </c>
      <c r="C5" s="6" t="s">
        <v>4</v>
      </c>
      <c r="D5" s="7" t="s">
        <v>5</v>
      </c>
      <c r="E5" s="4" t="s">
        <v>6</v>
      </c>
      <c r="F5" s="3" t="s">
        <v>7</v>
      </c>
      <c r="G5" s="9" t="s">
        <v>8</v>
      </c>
      <c r="H5" s="8" t="s">
        <v>9</v>
      </c>
      <c r="J5">
        <f>C6</f>
        <v>2</v>
      </c>
    </row>
    <row r="6" spans="1:13" ht="69.75" customHeight="1">
      <c r="A6" s="23" t="s">
        <v>10</v>
      </c>
      <c r="B6" s="25" t="s">
        <v>11</v>
      </c>
      <c r="C6" s="14">
        <v>2</v>
      </c>
      <c r="D6" s="36" t="s">
        <v>28</v>
      </c>
      <c r="E6" s="5" t="str">
        <f t="shared" ref="E6:E13" si="0">IF(F6="","",IF(F6=C6,2,IF(F6&gt;C6,3,1)))</f>
        <v/>
      </c>
      <c r="F6" s="16"/>
      <c r="G6" s="15"/>
      <c r="H6" s="10"/>
      <c r="J6">
        <f>C6</f>
        <v>2</v>
      </c>
      <c r="K6">
        <f>IF(F6="",0,IF(F6=1,F6+0.5,IF(F6=2,F6+0.25,F6)))</f>
        <v>0</v>
      </c>
      <c r="M6" s="28"/>
    </row>
    <row r="7" spans="1:13" ht="113.25" customHeight="1">
      <c r="A7" s="23" t="s">
        <v>12</v>
      </c>
      <c r="B7" s="24" t="s">
        <v>13</v>
      </c>
      <c r="C7" s="14">
        <v>0</v>
      </c>
      <c r="D7" s="36" t="s">
        <v>29</v>
      </c>
      <c r="E7" s="5" t="str">
        <f t="shared" si="0"/>
        <v/>
      </c>
      <c r="F7" s="16"/>
      <c r="G7" s="15"/>
      <c r="H7" s="11"/>
      <c r="J7">
        <f t="shared" ref="J7:J13" si="1">C7</f>
        <v>0</v>
      </c>
      <c r="K7">
        <f t="shared" ref="K7:K13" si="2">IF(F7="",0,IF(F7=1,F7+0.5,IF(F7=2,F7+0.25,F7)))</f>
        <v>0</v>
      </c>
    </row>
    <row r="8" spans="1:13" ht="81.599999999999994" customHeight="1">
      <c r="A8" s="23" t="s">
        <v>14</v>
      </c>
      <c r="B8" s="24" t="s">
        <v>15</v>
      </c>
      <c r="C8" s="14">
        <v>0</v>
      </c>
      <c r="D8" s="36" t="s">
        <v>30</v>
      </c>
      <c r="E8" s="5" t="str">
        <f t="shared" si="0"/>
        <v/>
      </c>
      <c r="F8" s="16"/>
      <c r="G8" s="15"/>
      <c r="H8" s="11"/>
      <c r="J8">
        <f t="shared" si="1"/>
        <v>0</v>
      </c>
      <c r="K8">
        <f t="shared" si="2"/>
        <v>0</v>
      </c>
    </row>
    <row r="9" spans="1:13" ht="69.599999999999994" customHeight="1">
      <c r="A9" s="23" t="s">
        <v>16</v>
      </c>
      <c r="B9" s="24" t="s">
        <v>17</v>
      </c>
      <c r="C9" s="14">
        <v>2</v>
      </c>
      <c r="D9" s="36" t="s">
        <v>31</v>
      </c>
      <c r="E9" s="5" t="str">
        <f t="shared" si="0"/>
        <v/>
      </c>
      <c r="F9" s="16"/>
      <c r="G9" s="15"/>
      <c r="H9" s="11"/>
      <c r="J9">
        <f t="shared" si="1"/>
        <v>2</v>
      </c>
      <c r="K9">
        <f t="shared" si="2"/>
        <v>0</v>
      </c>
    </row>
    <row r="10" spans="1:13" ht="113.25" customHeight="1">
      <c r="A10" s="23" t="s">
        <v>18</v>
      </c>
      <c r="B10" s="24" t="s">
        <v>19</v>
      </c>
      <c r="C10" s="14">
        <v>1</v>
      </c>
      <c r="D10" s="36" t="s">
        <v>32</v>
      </c>
      <c r="E10" s="5" t="str">
        <f t="shared" si="0"/>
        <v/>
      </c>
      <c r="F10" s="16"/>
      <c r="G10" s="15"/>
      <c r="H10" s="11"/>
      <c r="J10">
        <f t="shared" si="1"/>
        <v>1</v>
      </c>
      <c r="K10">
        <f t="shared" si="2"/>
        <v>0</v>
      </c>
    </row>
    <row r="11" spans="1:13" ht="121.2" customHeight="1">
      <c r="A11" s="23" t="s">
        <v>20</v>
      </c>
      <c r="B11" s="27" t="s">
        <v>21</v>
      </c>
      <c r="C11" s="14">
        <v>1</v>
      </c>
      <c r="D11" s="36" t="s">
        <v>33</v>
      </c>
      <c r="E11" s="5" t="str">
        <f t="shared" si="0"/>
        <v/>
      </c>
      <c r="F11" s="16"/>
      <c r="G11" s="15"/>
      <c r="H11" s="11"/>
      <c r="J11">
        <f t="shared" si="1"/>
        <v>1</v>
      </c>
      <c r="K11">
        <f t="shared" si="2"/>
        <v>0</v>
      </c>
    </row>
    <row r="12" spans="1:13" ht="160.19999999999999" customHeight="1">
      <c r="A12" s="23" t="s">
        <v>22</v>
      </c>
      <c r="B12" s="27" t="s">
        <v>23</v>
      </c>
      <c r="C12" s="14">
        <v>1</v>
      </c>
      <c r="D12" s="36" t="s">
        <v>34</v>
      </c>
      <c r="E12" s="5" t="str">
        <f t="shared" si="0"/>
        <v/>
      </c>
      <c r="F12" s="16"/>
      <c r="G12" s="15"/>
      <c r="H12" s="11"/>
      <c r="J12">
        <f t="shared" si="1"/>
        <v>1</v>
      </c>
      <c r="K12">
        <f t="shared" si="2"/>
        <v>0</v>
      </c>
    </row>
    <row r="13" spans="1:13" ht="180" customHeight="1">
      <c r="A13" s="23" t="s">
        <v>24</v>
      </c>
      <c r="B13" s="24" t="s">
        <v>25</v>
      </c>
      <c r="C13" s="14">
        <v>0</v>
      </c>
      <c r="D13" s="36" t="s">
        <v>35</v>
      </c>
      <c r="E13" s="5" t="str">
        <f t="shared" si="0"/>
        <v/>
      </c>
      <c r="F13" s="16"/>
      <c r="G13" s="15"/>
      <c r="H13" s="11"/>
      <c r="J13">
        <f t="shared" si="1"/>
        <v>0</v>
      </c>
      <c r="K13">
        <f t="shared" si="2"/>
        <v>0</v>
      </c>
    </row>
    <row r="14" spans="1:13" ht="21">
      <c r="B14" s="30"/>
      <c r="C14" s="31"/>
      <c r="D14" s="32"/>
      <c r="E14" s="33"/>
      <c r="F14" s="34"/>
      <c r="G14" s="35" t="s">
        <v>9</v>
      </c>
      <c r="H14" s="29">
        <f>IF(SUM(C6:C13)&lt;24,ROUND(SUM(C6:C13)*5/24+1,1),6)</f>
        <v>2.5</v>
      </c>
      <c r="J14">
        <f>SUM(J6:J13)</f>
        <v>7</v>
      </c>
      <c r="K14">
        <f>SUM(K6:K13)</f>
        <v>0</v>
      </c>
    </row>
    <row r="15" spans="1:13" ht="9" customHeight="1">
      <c r="H15" s="18"/>
    </row>
    <row r="16" spans="1:13" ht="28.8" hidden="1">
      <c r="J16" s="12" t="s">
        <v>26</v>
      </c>
      <c r="K16" s="13">
        <f>(COUNTA(A6:A13)*3)</f>
        <v>24</v>
      </c>
    </row>
    <row r="17" spans="10:11" ht="15" hidden="1" customHeight="1">
      <c r="J17" s="12" t="s">
        <v>27</v>
      </c>
      <c r="K17" s="13">
        <f>(COUNTA(A6:A13)*3)</f>
        <v>24</v>
      </c>
    </row>
    <row r="18" spans="10:11" ht="15" hidden="1" customHeight="1"/>
  </sheetData>
  <mergeCells count="2">
    <mergeCell ref="B3:H3"/>
    <mergeCell ref="B1:H1"/>
  </mergeCells>
  <conditionalFormatting sqref="H14">
    <cfRule type="expression" dxfId="1" priority="8">
      <formula>$F$14&gt;1</formula>
    </cfRule>
    <cfRule type="expression" dxfId="0" priority="9">
      <formula>$C$14&gt;1</formula>
    </cfRule>
  </conditionalFormatting>
  <dataValidations count="2">
    <dataValidation allowBlank="1" showInputMessage="1" showErrorMessage="1" errorTitle="Punkte-Eingabe" error="Bitte geben Sie bei der Selbsteinschätzung nur die Werte von 0 bsi 4 ein." sqref="D6:D13" xr:uid="{00000000-0002-0000-0000-000000000000}"/>
    <dataValidation type="whole" allowBlank="1" showErrorMessage="1" errorTitle="Ungültiger Punktewert" error="Es sind nur Punktewerte von 1-3 zulässig " sqref="C6:C13" xr:uid="{00000000-0002-0000-0000-000001000000}">
      <formula1>0</formula1>
      <formula2>3</formula2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Bewertung nach Kompetenzmatrix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Schoch Lionel Carl</cp:lastModifiedBy>
  <dcterms:created xsi:type="dcterms:W3CDTF">2026-06-01T15:27:34Z</dcterms:created>
  <dcterms:modified xsi:type="dcterms:W3CDTF">2026-06-01T15:27:34Z</dcterms:modified>
</cp:coreProperties>
</file>