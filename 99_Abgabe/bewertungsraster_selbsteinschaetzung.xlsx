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b8bf6b964448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wertung nach Kompetenzmatrix" sheetId="1" r:id="R19b277d8d2094dae"/>
  </x:sheets>
</x:workbook>
</file>

<file path=xl/comments1.xml><?xml version="1.0" encoding="utf-8"?>
<x:comments xmlns:x="http://schemas.openxmlformats.org/spreadsheetml/2006/main">
  <x:authors>
    <x:author>tc={FFABAE7A-E58C-4405-A877-A44658A6DD81}</x:author>
  </x:authors>
  <x:commentList>
    <x:comment ref="C4" authorId="0">
      <x:text>
        <x:r>
          <x: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3 P. = Die Anforderung ist vollständig erfüllt.
2 P. = Die Anforderung ist teilweise erfüllt.
1 P. = Die Anforderung ist ansatzweise erfüllt.
0 P. = Das Thema ist nicht vorhanden oder nicht bewertbar (z.B. weil Eigenständigkeit fehlt)</x:t>
        </x:r>
      </x:text>
    </x:comment>
  </x:commentList>
</x:comments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<x:sst xmlns:x="http://schemas.openxmlformats.org/spreadsheetml/2006/main">
  <x:si>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M145 - Selbsteinschätzung und Bewertung nach Kompetenzmatrix</x:t>
  </x:si>
  <x:si>
    <x:t xml:space="preserve">Anleitung für das Ausfüllen des Bewertungsrasters: Bitte tragen Sie die Selbsteinschätzung (Punkte) direkt in dieses Excel von der Teams-Aufgabe ein. Danke.</x:t>
  </x:si>
  <x:si>
    <x:t xml:space="preserve">Punktevergabe</x:t>
  </x:si>
  <x:si>
    <x:r>
      <x:rPr>
        <x:b/>
        <x:sz val="1100"/>
        <x:color rgb="FFFFFFFF"/>
        <x:rFont val="Calibri"/>
        <x:scheme val="minor"/>
      </x:rPr>
      <x:t xml:space="preserve">Kompetenzband
</x:t>
    </x:r>
    <x:r>
      <x:rPr>
        <x:b/>
        <x:i/>
        <x:sz val="1100"/>
        <x:color rgb="FFFFFFFF"/>
        <x:rFont val="Calibri"/>
        <x:scheme val="minor"/>
      </x:rPr>
      <x:t xml:space="preserve">Anforderungsbeschreibung für 3 P.</x:t>
    </x:r>
  </x:si>
  <x:si>
    <x:t xml:space="preserve">Punkte
Selbsteinschätzung
P: 0-3</x:t>
  </x:si>
  <x:si>
    <x:t xml:space="preserve">Bemerkungen / Begründung Lernender</x:t>
  </x:si>
  <x:si>
    <x:t xml:space="preserve">Vergleich Selbsteinschätzung / Bewertung Lehrperson</x:t>
  </x:si>
  <x:si>
    <x:t xml:space="preserve">Punkte 
Bewertung Lehrperson
P.: 0-3</x:t>
  </x:si>
  <x:si>
    <x:t xml:space="preserve">Bemerkungen / Begründung Lehrperson</x:t>
  </x:si>
  <x:si>
    <x:t xml:space="preserve">Note</x:t>
  </x:si>
  <x:si>
    <x:t xml:space="preserve">A1</x:t>
  </x:si>
  <x:si>
    <x:r>
      <x:rPr>
        <x:b/>
        <x:sz val="1100"/>
        <x:color rgb="FF000000"/>
        <x:rFont val="Calibri"/>
        <x:scheme val="minor"/>
      </x:rPr>
      <x:t xml:space="preserve">Netzerkdokumentation
</x:t>
    </x:r>
    <x:r>
      <x:rPr>
        <x:sz val="1000"/>
        <x:color rgb="FF000000"/>
        <x:rFont val="Calibri"/>
        <x:scheme val="minor"/>
      </x:rPr>
      <x:t xml:space="preserve">Ich kann anhand von Vorgaben selbständig eine Netzwerkdokumentation erstellen. Aufbau und Inhalt entsprechen gängigen Standards.</x:t>
    </x:r>
  </x:si>
  <x:si>
    <x:t xml:space="preserve">B1</x:t>
  </x:si>
  <x:si>
    <x:r>
      <x:rPr>
        <x:b/>
        <x:sz val="1100"/>
        <x:color rgb="FF000000"/>
        <x:rFont val="Calibri"/>
        <x:scheme val="minor"/>
      </x:rPr>
      <x:t xml:space="preserve">Überwachung und Auswertung
</x:t>
    </x:r>
    <x:r>
      <x:rPr>
        <x:sz val="1000"/>
        <x:color rgb="FF000000"/>
        <x:rFont val="Calibri"/>
        <x:scheme val="minor"/>
      </x:rPr>
      <x:t xml:space="preserve">Ich kann ein Überwachungstool aufsetzen, sowie selbständig Datenquellen ermitteln und einbinden. Ich kann sinnvolle Grenzwerte von relevanten Parameter festlegen und diese gemäss Anforderungskriterien korrekt konfigurieren oder anpassen.</x:t>
    </x:r>
  </x:si>
  <x:si>
    <x:t xml:space="preserve">C1</x:t>
  </x:si>
  <x:si>
    <x:r>
      <x:rPr>
        <x:b/>
        <x:sz val="1100"/>
        <x:color rgb="FF000000"/>
        <x:rFont val="Calibri"/>
        <x:scheme val="minor"/>
      </x:rPr>
      <x:t xml:space="preserve">Behandlung von Fehlersymptomen
</x:t>
    </x:r>
    <x:r>
      <x:rPr>
        <x:sz val="1000"/>
        <x:color rgb="FF000000"/>
        <x:rFont val="Calibri"/>
        <x:scheme val="minor"/>
      </x:rPr>
      <x:t xml:space="preserve">Ich kann Fehlersymptome und Systemmeldungen systematisch erfassen, analysieren und angemessene Massnahmen einleiten.</x:t>
    </x:r>
  </x:si>
  <x:si>
    <x:t xml:space="preserve">D1</x:t>
  </x:si>
  <x:si>
    <x:r>
      <x:rPr>
        <x:b/>
        <x:sz val="1100"/>
        <x:color rgb="FF000000"/>
        <x:rFont val="Calibri"/>
        <x:scheme val="minor"/>
      </x:rPr>
      <x:t xml:space="preserve">VLAN
</x:t>
    </x:r>
    <x:r>
      <x:rPr>
        <x:sz val="1000"/>
        <x:color rgb="FF000000"/>
        <x:rFont val="Calibri"/>
        <x:scheme val="minor"/>
      </x:rPr>
      <x:t xml:space="preserve">Ich kann die Vor- und Nachteile eines virtuellen LANs erklären sowie  logische Netzwerkkonzepte fachgerecht entwickeln und umsetzen.</x:t>
    </x:r>
  </x:si>
  <x:si>
    <x:t xml:space="preserve">E1</x:t>
  </x:si>
  <x:si>
    <x:r>
      <x:rPr>
        <x:b/>
        <x:sz val="1100"/>
        <x:color rgb="FF000000"/>
        <x:rFont val="Calibri"/>
        <x:scheme val="minor"/>
      </x:rPr>
      <x:t xml:space="preserve">WLAN
</x:t>
    </x:r>
    <x:r>
      <x:rPr>
        <x:sz val="1000"/>
        <x:color rgb="FF000000"/>
        <x:rFont val="Calibri"/>
        <x:scheme val="minor"/>
      </x:rPr>
      <x:t xml:space="preserve">Ich kann je nach Einsatzgebiet die optimale WLAN-Infrastruktur evaluieren, fachgerecht konfigurieren und in Betrieb nehmen. Zudem kann ich die aktuellen WLAN-Sicherheitsstandards bei der Planung und Umsetzung einsetzen</x:t>
    </x:r>
    <x:r>
      <x:rPr>
        <x:sz val="1100"/>
        <x:color rgb="FF000000"/>
        <x:rFont val="Calibri"/>
        <x:scheme val="minor"/>
      </x:rPr>
      <x:t xml:space="preserve">.</x:t>
    </x:r>
  </x:si>
  <x:si>
    <x:t xml:space="preserve">F1</x:t>
  </x:si>
  <x:si>
    <x:r>
      <x:rPr>
        <x:b/>
        <x:sz val="1100"/>
        <x:color rgb="FF000000"/>
      </x:rPr>
      <x:t xml:space="preserve">VPN
</x:t>
    </x:r>
    <x:r>
      <x:rPr>
        <x:sz val="1100"/>
        <x:color rgb="FF000000"/>
        <x:rFont val="Calibri"/>
        <x:family val="2"/>
        <x:scheme val="minor"/>
      </x:rPr>
      <x:t xml:space="preserve">Ich kann die Vor- und Nachteile unterschiedlicher VPN-Lösungen aufzeigen. Ich kann Unterschiede zwischen WAN-Access, WAN-Core-Netzwerk und VPN Verbindungen differenziert begründen und eine individualisierte VPN-Lösung fachgerecht in Betrieb nehmen.</x:t>
    </x:r>
  </x:si>
  <x:si>
    <x:t xml:space="preserve">Z1</x:t>
  </x:si>
  <x:si>
    <x:r>
      <x:rPr>
        <x:b/>
        <x:sz val="1100"/>
        <x:color rgb="FF000000"/>
      </x:rPr>
      <x:t xml:space="preserve">Dokumentation
</x:t>
    </x:r>
    <x:r>
      <x:rPr>
        <x:sz val="1000"/>
        <x:color rgb="FF000000"/>
        <x:rFont val="Calibri"/>
        <x:family val="2"/>
        <x:scheme val="minor"/>
      </x:rPr>
      <x:t xml:space="preserve">Die Themen sind im Lernportfolio strukturiert
Beispiel:
- Theorie (Zusammenfassung)
- Realisierung (Handlungsorientiert mit Praxisaufgabe)
- Dokumentation der Resultate (Beweis der Funktionalität)
- Reflexion / Auswertung
- Umfang und Qualität der Dokumentation</x:t>
    </x:r>
    <x:r>
      <x:rPr>
        <x:b/>
        <x:sz val="1100"/>
        <x:color rgb="FF000000"/>
        <x:rFont val="Calibri"/>
        <x:family val="2"/>
        <x:scheme val="minor"/>
      </x:rPr>
      <x:t xml:space="preserve">
</x:t>
    </x:r>
    <x:r>
      <x:rPr>
        <x:sz val="1000"/>
        <x:color rgb="FF000000"/>
        <x:rFont val="Calibri"/>
        <x:family val="2"/>
        <x:scheme val="minor"/>
      </x:rPr>
      <x:t xml:space="preserve">- Kontinuierlicher Fortschritt erkennbar</x:t>
    </x:r>
  </x:si>
  <x:si>
    <x:t xml:space="preserve">Z2</x:t>
  </x:si>
  <x:si>
    <x:r>
      <x:rPr>
        <x:b/>
        <x:sz val="1100"/>
        <x:color rgb="FF000000"/>
        <x:rFont val="Calibri"/>
        <x:scheme val="minor"/>
      </x:rPr>
      <x:t xml:space="preserve">Zusätzliche Themen (wahlweise, wenn ein Thema vollständig erfüllt ist +3P.)
</x:t>
    </x:r>
    <x:r>
      <x:rPr>
        <x:b/>
        <x:sz val="1000"/>
        <x:color rgb="FF000000"/>
        <x:rFont val="Calibri"/>
        <x:scheme val="minor"/>
      </x:rPr>
      <x:t xml:space="preserve">- </x:t>
    </x:r>
    <x:r>
      <x:rPr>
        <x:sz val="1000"/>
        <x:color rgb="FF000000"/>
        <x:rFont val="Calibri"/>
        <x:scheme val="minor"/>
      </x:rPr>
      <x:t xml:space="preserve">Link-Aggregation (LACP)
- Access Control Lists (ACLs)
- Network Access Control (NAC)
- Virt. Router Redundanz (HSRP/VRRP)
- Software Defined Networking (SDN)
- WAN-Technologie (hybride Cloud, Ausfallsicherheit, Vergleich WAN-Technologie an einem Standort nach Leistung, Kosten, Verfügbarkeit)
- IPv6
</x:t>
    </x:r>
  </x:si>
  <x:si>
    <x:t xml:space="preserve">Max.-Punkte</x:t>
  </x:si>
  <x:si>
    <x:t xml:space="preserve">Max.-Punkte für Note 6.0</x:t>
  </x:si>
</x:sst>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1">
    <x:font>
      <x:sz val="11"/>
      <x:color theme="1"/>
      <x:name val="Calibri"/>
    </x:font>
    <x:font>
      <x:sz val="11"/>
      <x:color theme="1"/>
      <x:name val="Calibri"/>
    </x:font>
    <x:font>
      <x:sz val="18"/>
      <x:color theme="3"/>
      <x:name val="Calibri Light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5700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sz val="11"/>
      <x:color rgb="FFFA7D00"/>
      <x:name val="Calibri"/>
    </x:font>
    <x:font>
      <x:b/>
      <x:sz val="11"/>
      <x:color theme="0"/>
      <x:name val="Calibri"/>
    </x:font>
    <x:font>
      <x:sz val="11"/>
      <x:color rgb="FFFF0000"/>
      <x:name val="Calibri"/>
    </x:font>
    <x:font>
      <x:i/>
      <x:sz val="11"/>
      <x:color rgb="FF7F7F7F"/>
      <x:name val="Calibri"/>
    </x:font>
    <x:font>
      <x:b/>
      <x:sz val="11"/>
      <x:color theme="1"/>
      <x:name val="Calibri"/>
    </x:font>
    <x:font>
      <x:sz val="11"/>
      <x:color theme="0"/>
      <x:name val="Calibri"/>
    </x:font>
    <x:font>
      <x:b/>
      <x:sz val="12"/>
      <x:color theme="1"/>
      <x:name val="Calibri"/>
    </x:font>
    <x:font>
      <x:sz val="8"/>
      <x:name val="Calibri"/>
    </x:font>
    <x:font>
      <x:sz val="8"/>
      <x:color theme="1"/>
      <x:name val="Calibri"/>
    </x:font>
    <x:font>
      <x:b/>
      <x:sz val="8"/>
      <x:color theme="0"/>
      <x:name val="Calibri"/>
    </x:font>
    <x:font>
      <x:b/>
      <x:sz val="14"/>
      <x:color theme="1"/>
      <x:name val="Comic Sans MS"/>
    </x:font>
    <x:font>
      <x:sz val="9"/>
      <x:name val="Helvetica Neue"/>
    </x:font>
    <x:font>
      <x:sz val="9"/>
      <x:color theme="1"/>
      <x:name val="Comic Sans MS"/>
    </x:font>
    <x:font>
      <x:b/>
      <x:sz val="14"/>
      <x:name val="Helvetica Neue"/>
    </x:font>
    <x:font>
      <x:b/>
      <x:sz val="11"/>
      <x:color rgb="FFFF0000"/>
      <x:name val="Calibri"/>
    </x:font>
    <x:font>
      <x:b/>
      <x:sz val="16"/>
      <x:color theme="1"/>
      <x:name val="Calibri"/>
    </x:font>
    <x:font>
      <x:sz val="10"/>
      <x:color theme="1"/>
      <x:name val="Calibri"/>
    </x:font>
    <x:font>
      <x:b/>
      <x:sz val="11"/>
      <x:color rgb="FF000000"/>
      <x:name val="Calibri"/>
    </x:font>
    <x:font>
      <x:b/>
      <x:sz val="10"/>
      <x:color rgb="FF000000"/>
      <x:name val="Calibri"/>
    </x:font>
    <x:font>
      <x:sz val="10"/>
      <x:color rgb="FF000000"/>
      <x:name val="Calibri"/>
    </x:font>
    <x:font>
      <x:sz val="11"/>
      <x:color rgb="FF000000"/>
      <x:name val="Calibri"/>
    </x:font>
    <x:font>
      <x:b/>
      <x:sz val="11"/>
      <x:color rgb="FFFFFFFF"/>
      <x:name val="Calibri"/>
    </x:font>
    <x:font>
      <x:i/>
      <x:sz val="11"/>
      <x:color rgb="FFFFFFFF"/>
      <x:name val="Calibri"/>
    </x:font>
    <x:font>
      <x:sz val="11"/>
      <x:color rgb="FFFFFFFF"/>
      <x:name val="Calibri"/>
    </x:font>
    <x:font>
      <x:b/>
      <x:sz val="11"/>
      <x:color rgb="FF000000"/>
      <x:name val="Calibri"/>
    </x:font>
    <x:font>
      <x:sz val="10"/>
      <x:color rgb="FF000000"/>
      <x:name val="Calibri"/>
    </x:font>
    <x:font>
      <x:b/>
      <x:sz val="14"/>
      <x:color theme="1"/>
      <x:name val="Calibri"/>
    </x:font>
    <x:font>
      <x:sz val="14"/>
      <x:name val="Helvetica Neue"/>
    </x:font>
    <x:font>
      <x:sz val="11"/>
      <x:color rgb="FF000000"/>
      <x:name val="Calibri"/>
    </x:font>
  </x:fonts>
  <x:fills count="40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theme="9" tint="0.79998"/>
      </x:patternFill>
    </x:fill>
    <x:fill>
      <x:patternFill patternType="solid">
        <x:fgColor theme="4" tint="0.79998"/>
      </x:patternFill>
    </x:fill>
    <x:fill>
      <x:patternFill patternType="solid">
        <x:fgColor theme="0" tint="-0.15"/>
      </x:patternFill>
    </x:fill>
    <x:fill>
      <x:patternFill patternType="solid">
        <x:fgColor theme="8" tint="-0.24998"/>
      </x:patternFill>
    </x:fill>
    <x:fill>
      <x:patternFill patternType="solid">
        <x:fgColor theme="8" tint="0.79998"/>
      </x:patternFill>
    </x:fill>
    <x:fill>
      <x:patternFill patternType="solid">
        <x:fgColor rgb="FFFFFF00"/>
      </x:patternFill>
    </x:fill>
    <x:fill>
      <x:patternFill patternType="solid">
        <x:fgColor theme="2" tint="-0.09998"/>
      </x:patternFill>
    </x:fill>
  </x:fills>
  <x:borders count="18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auto="1"/>
      </x:left>
      <x:right style="thin">
        <x:color auto="1"/>
      </x:righ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top style="thin">
        <x:color indexed="64"/>
      </x:top>
    </x:border>
    <x:border>
      <x:left style="thin">
        <x:color auto="1"/>
      </x:left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</x:cellStyleXfs>
  <x:cellXfs count="46">
    <x:xf numFmtId="0" fontId="0" fillId="0" borderId="0" xfId="0"/>
    <x:xf numFmtId="49" fontId="0" fillId="0" borderId="0" xfId="0" applyNumberFormat="1" applyAlignment="1">
      <x:alignment wrapText="1"/>
    </x:xf>
    <x:xf numFmtId="49" fontId="0" fillId="0" borderId="0" xfId="0" applyNumberFormat="1" applyAlignment="1">
      <x:alignment horizontal="left" vertical="center"/>
    </x:xf>
    <x:xf numFmtId="0" fontId="20" fillId="0" borderId="0" xfId="0" applyFont="1" applyAlignment="1">
      <x:alignment wrapText="1"/>
    </x:xf>
    <x:xf numFmtId="0" fontId="20" fillId="0" borderId="11" xfId="0" applyFont="1" applyBorder="1" applyAlignment="1">
      <x:alignment horizontal="left" vertical="center" wrapText="1"/>
    </x:xf>
    <x:xf numFmtId="0" fontId="18" fillId="37" borderId="11" xfId="0" applyFont="1" applyFill="1" applyBorder="1" applyAlignment="1">
      <x:alignment horizontal="center" vertical="center"/>
    </x:xf>
    <x:xf numFmtId="0" fontId="20" fillId="0" borderId="11" xfId="0" applyFont="1" applyBorder="1" applyAlignment="1">
      <x:alignment wrapText="1"/>
    </x:xf>
    <x:xf numFmtId="49" fontId="20" fillId="0" borderId="0" xfId="0" applyNumberFormat="1" applyFont="1" applyAlignment="1">
      <x:alignment horizontal="left" vertical="center" wrapText="1"/>
    </x:xf>
    <x:xf numFmtId="49" fontId="21" fillId="36" borderId="0" xfId="0" applyNumberFormat="1" applyFont="1" applyFill="1" applyAlignment="1">
      <x:alignment horizontal="center" vertical="center" wrapText="1"/>
    </x:xf>
    <x:xf numFmtId="49" fontId="20" fillId="0" borderId="11" xfId="0" applyNumberFormat="1" applyFont="1" applyBorder="1" applyAlignment="1">
      <x:alignment horizontal="left" vertical="center" wrapText="1"/>
    </x:xf>
    <x:xf numFmtId="0" fontId="0" fillId="35" borderId="14" xfId="0" applyFill="1" applyBorder="1"/>
    <x:xf numFmtId="0" fontId="0" fillId="35" borderId="15" xfId="0" applyFill="1" applyBorder="1"/>
    <x:xf numFmtId="49" fontId="0" fillId="0" borderId="0" xfId="0" applyNumberFormat="1" applyAlignment="1">
      <x:alignment horizontal="right" wrapText="1"/>
    </x:xf>
    <x:xf numFmtId="0" fontId="16" fillId="0" borderId="0" xfId="0" applyFont="1" applyAlignment="1">
      <x:alignment horizontal="center"/>
    </x:xf>
    <x:xf numFmtId="0" fontId="22" fillId="33" borderId="11" xfId="0" applyFont="1" applyFill="1" applyBorder="1" applyAlignment="1">
      <x:alignment horizontal="center" vertical="center"/>
    </x:xf>
    <x:xf numFmtId="49" fontId="23" fillId="34" borderId="11" xfId="0" applyNumberFormat="1" applyFont="1" applyFill="1" applyBorder="1" applyAlignment="1">
      <x:alignment horizontal="left" vertical="center" wrapText="1"/>
    </x:xf>
    <x:xf numFmtId="49" fontId="24" fillId="33" borderId="0" xfId="0" applyNumberFormat="1" applyFont="1" applyFill="1" applyAlignment="1">
      <x:alignment horizontal="left" vertical="center" wrapText="1"/>
    </x:xf>
    <x:xf numFmtId="0" fontId="25" fillId="34" borderId="0" xfId="0" applyFont="1" applyFill="1" applyAlignment="1">
      <x:alignment horizontal="center" vertic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left" vertical="center" wrapText="1"/>
    </x:xf>
    <x:xf numFmtId="0" fontId="0" fillId="0" borderId="0" xfId="0"/>
    <x:xf numFmtId="0" fontId="0" fillId="38" borderId="0" xfId="0" applyFill="1"/>
    <x:xf numFmtId="0" fontId="27" fillId="0" borderId="0" xfId="0" applyFont="1" applyAlignment="1">
      <x:alignment wrapText="1"/>
    </x:xf>
    <x:xf numFmtId="0" fontId="27" fillId="0" borderId="0" xfId="0" applyFont="1"/>
    <x:xf numFmtId="0" fontId="28" fillId="0" borderId="0" xfId="0" applyFont="1" applyAlignment="1">
      <x:alignment horizontal="left" vertical="center"/>
    </x:xf>
    <x:xf numFmtId="0" fontId="16" fillId="35" borderId="10" xfId="0" applyFont="1" applyFill="1" applyBorder="1" applyAlignment="1">
      <x:alignment horizontal="center" vertical="center"/>
    </x:xf>
    <x:xf numFmtId="49" fontId="29" fillId="39" borderId="12" xfId="0" applyNumberFormat="1" applyFont="1" applyFill="1" applyBorder="1" applyAlignment="1">
      <x:alignment horizontal="left" vertical="top" wrapText="1"/>
    </x:xf>
    <x:xf numFmtId="49" fontId="29" fillId="39" borderId="12" xfId="0" applyNumberFormat="1" applyFont="1" applyFill="1" applyBorder="1" applyAlignment="1">
      <x:alignment vertical="top" wrapText="1"/>
    </x:xf>
    <x:xf numFmtId="49" fontId="35" fillId="0" borderId="0" xfId="0" applyNumberFormat="1" applyFont="1" applyAlignment="1">
      <x:alignment horizontal="left" vertical="center" wrapText="1"/>
    </x:xf>
    <x:xf numFmtId="49" fontId="36" fillId="39" borderId="12" xfId="0" applyNumberFormat="1" applyFont="1" applyFill="1" applyBorder="1" applyAlignment="1">
      <x:alignment horizontal="left" vertical="top" wrapText="1"/>
    </x:xf>
    <x:xf numFmtId="0" fontId="0" fillId="0" borderId="0" xfId="0" applyAlignment="1">
      <x:alignment wrapText="1"/>
    </x:xf>
    <x:xf numFmtId="0" fontId="38" fillId="0" borderId="13" xfId="0" applyFont="1" applyBorder="1" applyAlignment="1">
      <x:alignment horizontal="center" vertical="center"/>
    </x:xf>
    <x:xf numFmtId="49" fontId="18" fillId="0" borderId="16" xfId="0" applyNumberFormat="1" applyFont="1" applyBorder="1" applyAlignment="1">
      <x:alignment wrapText="1"/>
    </x:xf>
    <x:xf numFmtId="0" fontId="22" fillId="0" borderId="16" xfId="0" applyFont="1" applyBorder="1" applyAlignment="1">
      <x:alignment horizontal="center" vertical="center"/>
    </x:xf>
    <x:xf numFmtId="49" fontId="24" fillId="0" borderId="16" xfId="0" applyNumberFormat="1" applyFont="1" applyBorder="1" applyAlignment="1">
      <x:alignment horizontal="left" vertical="center" wrapText="1"/>
    </x:xf>
    <x:xf numFmtId="0" fontId="18" fillId="0" borderId="16" xfId="0" applyFont="1" applyBorder="1" applyAlignment="1">
      <x:alignment horizontal="center" vertical="center"/>
    </x:xf>
    <x:xf numFmtId="0" fontId="25" fillId="0" borderId="17" xfId="0" applyFont="1" applyBorder="1" applyAlignment="1">
      <x:alignment horizontal="center" vertical="center"/>
    </x:xf>
    <x:xf numFmtId="49" fontId="39" fillId="34" borderId="13" xfId="0" applyNumberFormat="1" applyFont="1" applyFill="1" applyBorder="1" applyAlignment="1">
      <x:alignment horizontal="right" vertical="center" wrapText="1"/>
    </x:xf>
    <x:xf numFmtId="49" fontId="26" fillId="38" borderId="0" xfId="0" applyNumberFormat="1" applyFont="1" applyFill="1" applyAlignment="1">
      <x:alignment horizontal="left" vertical="center" wrapText="1"/>
    </x:xf>
    <x:xf numFmtId="0" fontId="14" fillId="0" borderId="0" xfId="0" applyFont="1" applyAlignment="1">
      <x:alignment horizontal="left" vertical="center" wrapText="1"/>
    </x:xf>
    <x:xf numFmtId="0" fontId="14" fillId="0" borderId="0" xfId="0" applyFont="1" applyAlignment="1">
      <x:alignment vertical="center" wrapText="1"/>
    </x:xf>
    <x:xf numFmtId="49" fontId="27" fillId="0" borderId="0" xfId="0" applyNumberFormat="1" applyFont="1" applyAlignment="1">
      <x:alignment horizontal="left" vertical="top" wrapText="1"/>
    </x:xf>
    <x:xf numFmtId="0" fontId="27" fillId="0" borderId="0" xfId="0" applyFont="1" applyAlignment="1">
      <x:alignment wrapText="1"/>
    </x:xf>
    <x:xf numFmtId="49" fontId="24" fillId="30" borderId="0" xfId="0" applyNumberFormat="1" applyFont="1" applyFill="1" applyBorder="1" applyAlignment="1">
      <x:alignment horizontal="left" vertical="center" wrapText="1"/>
    </x:xf>
    <x:xf numFmtId="200" fontId="22" fillId="30" borderId="11" xfId="0" applyNumberFormat="1" applyFont="1" applyFill="1" applyBorder="1" applyAlignment="1">
      <x:alignment horizontal="center" vertical="center"/>
    </x:xf>
    <x:xf numFmtId="201" fontId="38" fillId="0" borderId="13" xfId="0" applyNumberFormat="1" applyFont="1" applyFill="1" applyBorder="1" applyAlignment="1">
      <x:alignment horizontal="center" vertical="center"/>
    </x:xf>
  </x:cellXfs>
  <x:cellStyles count="42">
    <x:cellStyle name="20 % - Akzent1" xfId="19"/>
    <x:cellStyle name="20 % - Akzent2" xfId="23"/>
    <x:cellStyle name="20 % - Akzent3" xfId="27"/>
    <x:cellStyle name="20 % - Akzent4" xfId="31"/>
    <x:cellStyle name="20 % - Akzent5" xfId="35"/>
    <x:cellStyle name="20 % - Akzent6" xfId="39"/>
    <x:cellStyle name="40 % - Akzent1" xfId="20"/>
    <x:cellStyle name="40 % - Akzent2" xfId="24"/>
    <x:cellStyle name="40 % - Akzent3" xfId="28"/>
    <x:cellStyle name="40 % - Akzent4" xfId="32"/>
    <x:cellStyle name="40 % - Akzent5" xfId="36"/>
    <x:cellStyle name="40 % - Akzent6" xfId="40"/>
    <x:cellStyle name="60 % - Akzent1" xfId="21"/>
    <x:cellStyle name="60 % - Akzent2" xfId="25"/>
    <x:cellStyle name="60 % - Akzent3" xfId="29"/>
    <x:cellStyle name="60 % - Akzent4" xfId="33"/>
    <x:cellStyle name="60 % - Akzent5" xfId="37"/>
    <x:cellStyle name="60 % - Akzent6" xfId="41"/>
    <x:cellStyle name="Akzent1" xfId="18"/>
    <x:cellStyle name="Akzent2" xfId="22"/>
    <x:cellStyle name="Akzent3" xfId="26"/>
    <x:cellStyle name="Akzent4" xfId="30"/>
    <x:cellStyle name="Akzent5" xfId="34"/>
    <x:cellStyle name="Akzent6" xfId="38"/>
    <x:cellStyle name="Ausgabe" xfId="10"/>
    <x:cellStyle name="Berechnung" xfId="11"/>
    <x:cellStyle name="Eingabe" xfId="9"/>
    <x:cellStyle name="Ergebnis" xfId="17"/>
    <x:cellStyle name="Erklärender Text" xfId="16"/>
    <x:cellStyle name="Gut" xfId="6"/>
    <x:cellStyle name="Neutral" xfId="8"/>
    <x:cellStyle name="Notiz" xfId="15"/>
    <x:cellStyle name="Schlecht" xfId="7"/>
    <x:cellStyle name="Standard" xfId="0"/>
    <x:cellStyle name="Überschrift" xfId="1"/>
    <x:cellStyle name="Überschrift 1" xfId="2"/>
    <x:cellStyle name="Überschrift 2" xfId="3"/>
    <x:cellStyle name="Überschrift 3" xfId="4"/>
    <x:cellStyle name="Überschrift 4" xfId="5"/>
    <x:cellStyle name="Verknüpfte Zelle" xfId="12"/>
    <x:cellStyle name="Warnender Text" xfId="14"/>
    <x:cellStyle name="Zelle überprüfen" xfId="13"/>
  </x:cellStyles>
  <x:dxfs count="14">
    <x:dxf>
      <x:font>
        <x:u val="none"/>
        <x:sz val="14"/>
        <x:color auto="1"/>
        <x:name val="Helvetica Neue"/>
        <x:scheme val="none"/>
      </x:font>
      <x:numFmt numFmtId="30" formatCode="@"/>
      <x:fill>
        <x:patternFill>
          <x:bgColor indexed="64"/>
        </x:patternFill>
      </x:fill>
      <x:border>
        <x:left style="medium">
          <x:color indexed="64"/>
        </x:left>
        <x:right style="medium">
          <x:color indexed="64"/>
        </x:right>
        <x:top style="medium">
          <x:color indexed="64"/>
        </x:top>
        <x:bottom style="medium">
          <x:color indexed="64"/>
        </x:bottom>
      </x:border>
    </x:dxf>
    <x:dxf>
      <x:font>
        <x:b/>
        <x:u val="none"/>
        <x:sz val="14"/>
        <x:color auto="1"/>
        <x:name val="Helvetica Neue"/>
        <x:scheme val="none"/>
      </x:font>
      <x:border>
        <x:left/>
        <x:right style="medium">
          <x:color indexed="64"/>
        </x:right>
        <x:top style="medium">
          <x:color indexed="64"/>
        </x:top>
        <x:bottom/>
      </x:border>
    </x:dxf>
    <x:dxf>
      <x:font>
        <x:b/>
        <x:u val="none"/>
        <x:sz val="12"/>
        <x:color theme="1"/>
        <x:name val="Calibri"/>
        <x:family val="2"/>
        <x:scheme val="minor"/>
      </x:font>
      <x:border>
        <x:left/>
        <x:right/>
        <x:top style="medium">
          <x:color indexed="64"/>
        </x:top>
        <x:bottom/>
      </x:border>
    </x:dxf>
    <x:dxf>
      <x:font>
        <x:u val="none"/>
        <x:sz val="9"/>
        <x:color theme="1"/>
        <x:name val="Comic Sans MS"/>
        <x:family val="4"/>
        <x:scheme val="none"/>
      </x:font>
      <x:numFmt numFmtId="30" formatCode="@"/>
      <x:border>
        <x:left/>
        <x:right/>
        <x:top style="medium">
          <x:color indexed="64"/>
        </x:top>
        <x:bottom/>
      </x:border>
    </x:dxf>
    <x:dxf>
      <x:font>
        <x:b/>
        <x:u val="none"/>
        <x:sz val="14"/>
        <x:color theme="1"/>
        <x:name val="Comic Sans MS"/>
        <x:family val="4"/>
        <x:scheme val="none"/>
      </x:font>
      <x:border>
        <x:left/>
        <x:right/>
        <x:top style="medium">
          <x:color indexed="64"/>
        </x:top>
        <x:bottom/>
      </x:border>
    </x:dxf>
    <x:dxf>
      <x:font>
        <x:b/>
        <x:u val="none"/>
        <x:sz val="12"/>
        <x:color theme="1"/>
        <x:name val="Calibri"/>
        <x:family val="2"/>
        <x:scheme val="minor"/>
      </x:font>
      <x:numFmt numFmtId="30" formatCode="@"/>
      <x:border>
        <x:left/>
        <x:right/>
        <x:top style="medium">
          <x:color indexed="64"/>
        </x:top>
        <x:bottom/>
      </x:border>
    </x:dxf>
    <x:dxf>
      <x:fill>
        <x:patternFill>
          <x:bgColor theme="9" tint="0.79998"/>
        </x:patternFill>
      </x:fill>
    </x:dxf>
    <x:dxf>
      <x:fill>
        <x:patternFill>
          <x:bgColor theme="8" tint="0.79998"/>
        </x:patternFill>
      </x:fill>
    </x:dxf>
    <x:dxf>
      <x:font>
        <x:u val="none"/>
        <x:sz val="9"/>
        <x:color auto="1"/>
        <x:name val="Helvetica Neue"/>
        <x:scheme val="none"/>
      </x:font>
      <x:numFmt numFmtId="30" formatCode="@"/>
      <x:fill>
        <x:patternFill>
          <x:bgColor indexed="64"/>
        </x:patternFill>
      </x:fill>
      <x:border>
        <x:left/>
        <x:right style="thin">
          <x:color indexed="64"/>
        </x:right>
      </x:border>
    </x:dxf>
    <x:dxf>
      <x:font>
        <x:b/>
        <x:u val="none"/>
        <x:sz val="14"/>
        <x:color auto="1"/>
        <x:name val="Helvetica Neue"/>
        <x:scheme val="none"/>
      </x:font>
      <x:fill>
        <x:patternFill>
          <x:bgColor indexed="64"/>
        </x:patternFill>
      </x:fill>
      <x:border>
        <x:left style="thin">
          <x:color auto="1"/>
        </x:left>
        <x:right style="thin">
          <x:color auto="1"/>
        </x:right>
      </x:border>
    </x:dxf>
    <x:dxf>
      <x:font>
        <x:b/>
        <x:u val="none"/>
        <x:sz val="12"/>
        <x:color theme="1"/>
        <x:name val="Calibri"/>
        <x:family val="2"/>
        <x:scheme val="minor"/>
      </x:font>
      <x:numFmt numFmtId="0" formatCode="General"/>
      <x:fill>
        <x:patternFill>
          <x:bgColor indexed="64"/>
        </x:patternFill>
      </x:fill>
    </x:dxf>
    <x:dxf>
      <x:font>
        <x:u val="none"/>
        <x:sz val="9"/>
        <x:color theme="1"/>
        <x:name val="Comic Sans MS"/>
        <x:family val="4"/>
        <x:scheme val="none"/>
      </x:font>
      <x:numFmt numFmtId="30" formatCode="@"/>
      <x:fill>
        <x:patternFill>
          <x:bgColor indexed="64"/>
        </x:patternFill>
      </x:fill>
      <x:border>
        <x:left style="thin">
          <x:color auto="1"/>
        </x:left>
        <x:right style="thin">
          <x:color auto="1"/>
        </x:right>
      </x:border>
    </x:dxf>
    <x:dxf>
      <x:font>
        <x:b/>
        <x:u val="none"/>
        <x:sz val="14"/>
        <x:color theme="1"/>
        <x:name val="Comic Sans MS"/>
        <x:family val="4"/>
        <x:scheme val="none"/>
      </x:font>
      <x:fill>
        <x:patternFill>
          <x:bgColor indexed="64"/>
        </x:patternFill>
      </x:fill>
    </x:dxf>
    <x:dxf>
      <x:numFmt numFmtId="30" formatCode="@"/>
      <x:fill>
        <x:patternFill>
          <x:bgColor indexed="64"/>
        </x:patternFill>
      </x:fill>
      <x:border>
        <x:right style="thin">
          <x:color auto="1"/>
        </x:right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2635635ec947f7" /><Relationship Type="http://schemas.openxmlformats.org/officeDocument/2006/relationships/theme" Target="/xl/theme/theme1.xml" Id="Re7a40ba972e242da" /><Relationship Type="http://schemas.openxmlformats.org/officeDocument/2006/relationships/sheetMetadata" Target="/xl/metadata1.xml" Id="R6d264adb9510498e" /><Relationship Type="http://schemas.openxmlformats.org/officeDocument/2006/relationships/sharedStrings" Target="/xl/sharedStrings.xml" Id="Rcea911280ced425b" /><Relationship Type="http://schemas.openxmlformats.org/officeDocument/2006/relationships/worksheet" Target="/xl/worksheets/sheet1.xml" Id="R19b277d8d2094dae" /><Relationship Type="http://schemas.microsoft.com/office/2017/10/relationships/person" Target="/xl/persons/person.xml" Id="R7850b1aca99a4c11" /></Relationships>
</file>

<file path=xl/persons/person.xml><?xml version="1.0" encoding="utf-8"?>
<xltc:personList xmlns:xltc="http://schemas.microsoft.com/office/spreadsheetml/2018/threadedcomments">
  <xltc:person displayName="Rohr Philipp" id="{71A28FF1-63CD-4F9C-B032-FD333215FCF5}"/>
</xltc:personList>
</file>

<file path=xl/tables/table1.xml><?xml version="1.0" encoding="utf-8"?>
<x:table xmlns:x="http://schemas.openxmlformats.org/spreadsheetml/2006/main" id="1" name="Table1" displayName="Table1" ref="B5:G14" totalsRowCount="1">
  <x:tableColumns count="6">
    <x:tableColumn id="1" name="Kompetenzband_x000a__x000a_Anforderungsbeschreibung für 3 P." dataDxfId="13"/>
    <x:tableColumn id="2" name="Punkte_x000a_Selbsteinschätzung_x000a_P: 0-3" dataDxfId="12"/>
    <x:tableColumn id="6" name="Bemerkungen / Begründung Lernender" dataDxfId="11"/>
    <x:tableColumn id="3" name="Vergleich Selbsteinschätzung / Bewertung Lehrperson" dataDxfId="10">
      <x:calculatedColumnFormula>IF(Table1[[#This Row],[Punkte 
Bewertung Lehrperson
P.: 0-3]]="","",IF(Table1[[#This Row],[Punkte 
Bewertung Lehrperson
P.: 0-3]]=Table1[[#This Row],[Punkte
Selbsteinschätzung
P: 0-3]],2,IF(Table1[[#This Row],[Punkte 
Bewertung Lehrperson
P.: 0-3]]&gt;Table1[[#This Row],[Punkte
Selbsteinschätzung
P: 0-3]],3,1)))</x:calculatedColumnFormula>
    </x:tableColumn>
    <x:tableColumn id="4" name="Punkte _x000a_Bewertung Lehrperson_x000a_P.: 0-3" dataDxfId="9"/>
    <x:tableColumn id="5" name="Bemerkungen / Begründung Lehrperson" totalsRowLabel="Note" dataDxfId="8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4" dT="2023-02-27T13:28:23.8" personId="{71A28FF1-63CD-4F9C-B032-FD333215FCF5}" id="{FFABAE7A-E58C-4405-A877-A44658A6DD81}">
    <xltc:text>3 P. = Die Anforderung ist vollständig erfüllt.
2 P. = Die Anforderung ist teilweise erfüllt.
1 P. = Die Anforderung ist ansatzweise erfüllt.
0 P. = Das Thema ist nicht vorhanden oder nicht bewertbar (z.B. weil Eigenständigkeit fehlt)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6d7fac430704495" /><Relationship Type="http://schemas.openxmlformats.org/officeDocument/2006/relationships/vmlDrawing" Target="/xl/drawings/vmldrawing.vml" Id="R1234a66448134042" /><Relationship Type="http://schemas.microsoft.com/office/2017/10/relationships/threadedComment" Target="/xl/threadedcomments/threadedcomment.xml" Id="R57fdfc15a31246d9" /><Relationship Type="http://schemas.openxmlformats.org/officeDocument/2006/relationships/table" Target="/xl/tables/table1.xml" Id="R3bedbcd2f7d445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RowHeight="14.399999618530273"/>
  <x:cols>
    <x:col min="1" max="1" width="5.109375" style="18" customWidth="1"/>
    <x:col min="2" max="2" width="38.6640625" style="1" customWidth="1"/>
    <x:col min="3" max="3" width="12.6640625" customWidth="1"/>
    <x:col min="4" max="4" width="34.109375" style="2" customWidth="1"/>
    <x:col min="5" max="5" width="14.33203125" customWidth="1"/>
    <x:col min="6" max="6" width="12" customWidth="1"/>
    <x:col min="7" max="7" width="27.6640625" customWidth="1"/>
    <x:col min="8" max="8" width="10.33203125" style="2" customWidth="1"/>
    <x:col min="9" max="9" width="3.44140625" customWidth="1"/>
    <x:col min="10" max="12" width="9.109375" hidden="1" customWidth="1"/>
    <x:col min="13" max="13" width="37.33203125" hidden="1" customWidth="1"/>
    <x:col min="14" max="16384" width="9.109375" hidden="1" customWidth="0"/>
  </x:cols>
  <x:sheetData>
    <x:row r="1" ht="22.5" customHeight="1">
      <x:c r="B1" s="41" t="s">
        <x:v>0</x:v>
      </x:c>
      <x:c r="C1" s="42"/>
      <x:c r="D1" s="42"/>
      <x:c r="E1" s="42"/>
      <x:c r="F1" s="42"/>
      <x:c r="G1" s="42"/>
      <x:c r="H1" s="42"/>
    </x:row>
    <x:row r="2" ht="22.5" customHeight="1">
      <x:c r="B2" s="24" t="str" cm="1">
        <x:f t="array" aca="1" ref="B2" ca="1">IFERROR(LEFT(CELL("filename"),FIND("[",CELL("filename"))-1),"")</x:f>
      </x:c>
      <x:c r="C2" s="23"/>
      <x:c r="D2" s="23"/>
      <x:c r="E2" s="23"/>
      <x:c r="F2" s="23"/>
      <x:c r="G2" s="23"/>
      <x:c r="H2" s="22"/>
    </x:row>
    <x:row r="3" ht="21" customHeight="1">
      <x:c r="B3" s="38" t="s">
        <x:v>1</x:v>
      </x:c>
      <x:c r="C3" s="39"/>
      <x:c r="D3" s="39"/>
      <x:c r="E3" s="40"/>
      <x:c r="F3" s="40"/>
      <x:c r="G3" s="40"/>
      <x:c r="H3" s="40"/>
    </x:row>
    <x:row r="4">
      <x:c r="C4" s="21" t="s">
        <x:v>2</x:v>
      </x:c>
      <x:c r="G4" s="2"/>
      <x:c r="H4"/>
    </x:row>
    <x:row r="5" ht="43.20000076293945">
      <x:c r="B5" s="28" t="s">
        <x:v>3</x:v>
      </x:c>
      <x:c r="C5" s="6" t="s">
        <x:v>4</x:v>
      </x:c>
      <x:c r="D5" s="7" t="s">
        <x:v>5</x:v>
      </x:c>
      <x:c r="E5" s="4" t="s">
        <x:v>6</x:v>
      </x:c>
      <x:c r="F5" s="3" t="s">
        <x:v>7</x:v>
      </x:c>
      <x:c r="G5" s="9" t="s">
        <x:v>8</x:v>
      </x:c>
      <x:c r="H5" s="8" t="s">
        <x:v>9</x:v>
      </x:c>
      <x:c r="J5" t="n">
        <x:f>C6</x:f>
        <x:v>3</x:v>
      </x:c>
    </x:row>
    <x:row r="6" ht="90" customHeight="1">
      <x:c r="A6" s="25" t="s">
        <x:v>10</x:v>
      </x:c>
      <x:c r="B6" s="27" t="s">
        <x:v>11</x:v>
      </x:c>
      <x:c r="C6" s="44" t="n">
        <x:v>3</x:v>
      </x:c>
      <x:c r="D6" s="43" t="str">
        <x:v>Ich gebe mir 3 Punkte, weil ich eine vollständige Netzwerkdokumentation mit Topologie, Geräteliste, IP-Adressierung, VLAN-Übersicht und Sicherheitskonzept erstellt habe. Die Dokumentation ist im Projektordner strukturiert und für die Bewertung über README-Dateien gut auffindbar.</x:v>
      </x:c>
      <x:c r="E6" s="5"/>
      <x:c r="F6" s="17"/>
      <x:c r="G6" s="15"/>
      <x:c r="H6" s="10"/>
      <x:c r="J6" t="n">
        <x:f>IF(C6
=1,C6
+0.5,IF(C6
=2,C6
+0.25,C6
))</x:f>
        <x:v>3</x:v>
      </x:c>
      <x:c r="K6" t="e">
        <x:f>IF(F6
=1,F6
+0.5,IF(F6
=2,F6
+0.25,F6
))</x:f>
        <x:v>#VALUE!</x:v>
      </x:c>
      <x:c r="M6" s="30"/>
    </x:row>
    <x:row r="7" ht="90" customHeight="1">
      <x:c r="A7" s="25" t="s">
        <x:v>12</x:v>
      </x:c>
      <x:c r="B7" s="26" t="s">
        <x:v>13</x:v>
      </x:c>
      <x:c r="C7" s="44" t="n">
        <x:v>2</x:v>
      </x:c>
      <x:c r="D7" s="43" t="str">
        <x:v>Ich gebe mir 2 Punkte. Ich habe ein Monitoring-Konzept erstellt und ein WireGuard-VPN als Grundlage für Grafana vorbereitet. Das eigentliche Grafana-Dashboard konnte ich zeitlich nicht vollständig umsetzen, deshalb bewerte ich diesen Bereich nicht mit der Maximalpunktzahl.</x:v>
      </x:c>
      <x:c r="E7" s="5"/>
      <x:c r="F7" s="17"/>
      <x:c r="G7" s="15"/>
      <x:c r="H7" s="11"/>
      <x:c r="J7" t="n">
        <x:f t="shared" ref="J7:J13" si="0">IF(C7
=1,C7
+0.5,IF(C7
=2,C7
+0.25,C7
))</x:f>
        <x:v>2.25</x:v>
      </x:c>
      <x:c r="K7" t="e">
        <x:f t="shared" ref="K7:K13" si="1">IF(F7
=1,F7
+0.5,IF(F7
=2,F7
+0.25,F7
))</x:f>
        <x:v>#VALUE!</x:v>
      </x:c>
    </x:row>
    <x:row r="8" ht="90" customHeight="1">
      <x:c r="A8" s="25" t="s">
        <x:v>14</x:v>
      </x:c>
      <x:c r="B8" s="26" t="s">
        <x:v>15</x:v>
      </x:c>
      <x:c r="C8" s="44" t="n">
        <x:v>3</x:v>
      </x:c>
      <x:c r="D8" s="43" t="str">
        <x:v>Ich gebe mir 3 Punkte, weil ich mögliche Fehlersymptome systematisch dokumentiert habe. Im Troubleshooting sind typische Fehler zu VLAN, Trunking, Routing, VPN und WLAN mit Diagnosebefehlen, Ursachen und Massnahmen beschrieben.</x:v>
      </x:c>
      <x:c r="E8" s="5"/>
      <x:c r="F8" s="17"/>
      <x:c r="G8" s="15"/>
      <x:c r="H8" s="11"/>
      <x:c r="J8">
        <x:f t="shared" si="0"/>
        <x:v>3</x:v>
      </x:c>
      <x:c r="K8">
        <x:f t="shared" si="1"/>
        <x:v>0</x:v>
      </x:c>
    </x:row>
    <x:row r="9" ht="90" customHeight="1">
      <x:c r="A9" s="25" t="s">
        <x:v>16</x:v>
      </x:c>
      <x:c r="B9" s="26" t="s">
        <x:v>17</x:v>
      </x:c>
      <x:c r="C9" s="44" t="n">
        <x:v>3</x:v>
      </x:c>
      <x:c r="D9" s="43" t="str">
        <x:v>Ich gebe mir 3 Punkte, weil ich ein VLAN-Konzept entwickelt, VLANs für Lehrer, Schüler, WLAN/Gast und Administration dokumentiert und mit Screenshots validiert habe. Trunking, Access-Ports und Tests sind nachvollziehbar beschrieben.</x:v>
      </x:c>
      <x:c r="E9" s="5"/>
      <x:c r="F9" s="17"/>
      <x:c r="G9" s="15"/>
      <x:c r="H9" s="11"/>
      <x:c r="J9">
        <x:f t="shared" si="0"/>
        <x:v>3</x:v>
      </x:c>
      <x:c r="K9">
        <x:f t="shared" si="1"/>
        <x:v>0</x:v>
      </x:c>
    </x:row>
    <x:row r="10" ht="90" customHeight="1">
      <x:c r="A10" s="25" t="s">
        <x:v>18</x:v>
      </x:c>
      <x:c r="B10" s="26" t="s">
        <x:v>19</x:v>
      </x:c>
      <x:c r="C10" s="44" t="n">
        <x:v>2</x:v>
      </x:c>
      <x:c r="D10" s="43" t="str">
        <x:v>Ich gebe mir 2 Punkte. Ich habe den WLAN-/Gastbereich dokumentiert, dem VLAN 30 zugeordnet und WPA2-PSK/AES anhand von Screenshots belegt. Ein zusätzlicher Client-IP- oder Verbindungstest wäre noch sinnvoll, deshalb nicht die volle Punktzahl.</x:v>
      </x:c>
      <x:c r="E10" s="5"/>
      <x:c r="F10" s="17"/>
      <x:c r="G10" s="15"/>
      <x:c r="H10" s="11"/>
      <x:c r="J10">
        <x:f t="shared" si="0"/>
        <x:v>3</x:v>
      </x:c>
      <x:c r="K10">
        <x:f t="shared" si="1"/>
        <x:v>0</x:v>
      </x:c>
    </x:row>
    <x:row r="11" ht="90" customHeight="1">
      <x:c r="A11" s="25" t="s">
        <x:v>20</x:v>
      </x:c>
      <x:c r="B11" s="29" t="s">
        <x:v>21</x:v>
      </x:c>
      <x:c r="C11" s="44" t="n">
        <x:v>3</x:v>
      </x:c>
      <x:c r="D11" s="43" t="str">
        <x:v>Ich gebe mir 3 Punkte, weil ich ein IPsec Site-to-Site-VPN dokumentiert und mit Screenshots belegt habe. ISAKMP, IPsec, Crypto Maps, ACLs, Routing und ein HTTPS-Test über den Tunnel sind nachgewiesen.</x:v>
      </x:c>
      <x:c r="E11" s="5"/>
      <x:c r="F11" s="17"/>
      <x:c r="G11" s="15"/>
      <x:c r="H11" s="11"/>
      <x:c r="J11">
        <x:f t="shared" si="0"/>
        <x:v>3</x:v>
      </x:c>
      <x:c r="K11">
        <x:f t="shared" si="1"/>
        <x:v>0</x:v>
      </x:c>
    </x:row>
    <x:row r="12" ht="90" customHeight="1">
      <x:c r="A12" s="25" t="s">
        <x:v>22</x:v>
      </x:c>
      <x:c r="B12" s="29" t="s">
        <x:v>23</x:v>
      </x:c>
      <x:c r="C12" s="44" t="n">
        <x:v>3</x:v>
      </x:c>
      <x:c r="D12" s="43" t="str">
        <x:v>Ich gebe mir 3 Punkte, weil die Dokumentation sehr strukturiert aufgebaut ist. Es gibt thematische Ordner, README-Übersichten, Screenshots als Beweise, Testprotokolle, Reflexion und einen Abgabeordner.</x:v>
      </x:c>
      <x:c r="E12" s="5"/>
      <x:c r="F12" s="17"/>
      <x:c r="G12" s="15"/>
      <x:c r="H12" s="11"/>
      <x:c r="J12">
        <x:f t="shared" si="0"/>
        <x:v>3</x:v>
      </x:c>
      <x:c r="K12">
        <x:f t="shared" si="1"/>
        <x:v>0</x:v>
      </x:c>
    </x:row>
    <x:row r="13" ht="90" customHeight="1">
      <x:c r="A13" s="25" t="s">
        <x:v>24</x:v>
      </x:c>
      <x:c r="B13" s="26" t="s">
        <x:v>25</x:v>
      </x:c>
      <x:c r="C13" s="44" t="n">
        <x:v>0</x:v>
      </x:c>
      <x:c r="D13" s="43" t="str">
        <x:v>Ich gebe mir 0 Punkte, weil ich kein zusätzliches Wahlthema vollständig umgesetzt habe. ACLs wurden im VPN-Kontext verwendet, aber nicht als eigenständiges Zusatzthema ausgearbeitet.</x:v>
      </x:c>
      <x:c r="E13" s="5"/>
      <x:c r="F13" s="17"/>
      <x:c r="G13" s="15"/>
      <x:c r="H13" s="11"/>
      <x:c r="J13">
        <x:f t="shared" si="0"/>
        <x:v>0</x:v>
      </x:c>
      <x:c r="K13">
        <x:f t="shared" si="1"/>
        <x:v>0</x:v>
      </x:c>
    </x:row>
    <x:row r="14" ht="21.600000381469727">
      <x:c r="B14" s="32"/>
      <x:c r="C14" s="33"/>
      <x:c r="D14" s="34"/>
      <x:c r="E14" s="35"/>
      <x:c r="F14" s="36"/>
      <x:c r="G14" s="37" t="s">
        <x:v>9</x:v>
      </x:c>
      <x:c r="H14" s="45" t="n">
        <x:v>5</x:v>
      </x:c>
      <x:c r="J14" t="n">
        <x:f>SUM(J6:J13)</x:f>
        <x:v>20.25</x:v>
      </x:c>
      <x:c r="K14" t="e">
        <x:f>SUM(K6:K13)</x:f>
        <x:v>#VALUE!</x:v>
      </x:c>
    </x:row>
    <x:row r="15" ht="9" customHeight="1">
      <x:c r="G15" s="20"/>
      <x:c r="H15" s="19"/>
    </x:row>
    <x:row r="16" ht="28.799999237060547" hidden="1">
      <x:c r="J16" s="12" t="s">
        <x:v>26</x:v>
      </x:c>
      <x:c r="K16" s="13" t="n">
        <x:f>(COUNTA(A6:A13)*3)</x:f>
        <x:v>24</x:v>
      </x:c>
    </x:row>
    <x:row r="17" ht="15" hidden="1" customHeight="1">
      <x:c r="J17" s="12" t="s">
        <x:v>27</x:v>
      </x:c>
      <x:c r="K17" s="13" t="n">
        <x:f>(COUNTA(A6:A13)*3)</x:f>
        <x:v>24</x:v>
      </x:c>
    </x:row>
    <x:row r="18" ht="15" hidden="1" customHeight="1"/>
    <x:row r="19"/>
    <x:row r="20"/>
    <x:row r="21"/>
    <x:row r="22"/>
    <x:row r="23"/>
    <x:row r="24"/>
  </x:sheetData>
  <x:mergeCells>
    <x:mergeCell ref="B3:H3"/>
    <x:mergeCell ref="B1:H1"/>
  </x:mergeCells>
  <x:conditionalFormatting sqref="H14:H14">
    <x:cfRule type="expression" dxfId="7" priority="8">
      <x:formula>$F$14&gt;1</x:formula>
    </x:cfRule>
    <x:cfRule type="expression" dxfId="6" priority="9">
      <x:formula>$C$14&gt;1</x:formula>
    </x:cfRule>
  </x:conditionalFormatting>
  <x:dataValidations count="2">
    <x:dataValidation allowBlank="1" showInputMessage="1" showErrorMessage="1" errorTitle="Punkte-Eingabe" error="Bitte geben Sie bei der Selbsteinschätzung nur die Werte von 0 bsi 4 ein." sqref="D6:D13"/>
    <x:dataValidation type="whole" allowBlank="1" showErrorMessage="1" errorTitle="Ungültiger Punktewert" error="Es sind nur Punktewerte von 1-3 zulässig " sqref="C6:C13">
      <x:formula1>0</x:formula1>
      <x:formula2>3</x:formula2>
    </x:dataValidation>
  </x:dataValidations>
  <x:pageMargins left="0.7" right="0.7" top="0.75" bottom="0.75" header="0.3" footer="0.3"/>
  <x:legacyDrawing xmlns:r="http://schemas.openxmlformats.org/officeDocument/2006/relationships" r:id="R1234a66448134042"/>
  <x:tableParts count="1">
    <x:tablePart xmlns:r="http://schemas.openxmlformats.org/officeDocument/2006/relationships" r:id="R3bedbcd2f7d4455c"/>
  </x:tableParts>
</x:worksheet>
</file>